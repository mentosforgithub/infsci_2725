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ment\Documents\Courses\2016Spring\DA\Assignments\Assignment6_ProbabilityApproaches\"/>
    </mc:Choice>
  </mc:AlternateContent>
  <bookViews>
    <workbookView xWindow="0" yWindow="456" windowWidth="25596" windowHeight="14580" firstSheet="2" activeTab="4"/>
  </bookViews>
  <sheets>
    <sheet name="chocolate" sheetId="1" r:id="rId1"/>
    <sheet name="chocolate-analysis" sheetId="4" r:id="rId2"/>
    <sheet name="coffe" sheetId="2" r:id="rId3"/>
    <sheet name="coffee-analysis" sheetId="10" r:id="rId4"/>
    <sheet name="alcohol" sheetId="3" r:id="rId5"/>
    <sheet name="alcohol(total)-analysis" sheetId="5" r:id="rId6"/>
    <sheet name="alcohol(separate)" sheetId="6" r:id="rId7"/>
    <sheet name="wine-analysis" sheetId="7" r:id="rId8"/>
  </sheets>
  <calcPr calcId="152511" concurrentCalc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2" i="6" l="1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F3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" i="6"/>
</calcChain>
</file>

<file path=xl/sharedStrings.xml><?xml version="1.0" encoding="utf-8"?>
<sst xmlns="http://schemas.openxmlformats.org/spreadsheetml/2006/main" count="208" uniqueCount="57">
  <si>
    <t>country</t>
  </si>
  <si>
    <t>chocolate</t>
  </si>
  <si>
    <t>Nobel Laureates/10 million</t>
  </si>
  <si>
    <t xml:space="preserve">coffee </t>
  </si>
  <si>
    <t>alcohol</t>
  </si>
  <si>
    <t>Australia</t>
  </si>
  <si>
    <t>Belgium</t>
  </si>
  <si>
    <t>Brazil</t>
  </si>
  <si>
    <t>China</t>
  </si>
  <si>
    <t>Denmark</t>
  </si>
  <si>
    <t>Germany</t>
  </si>
  <si>
    <t>Finland</t>
  </si>
  <si>
    <t>France</t>
  </si>
  <si>
    <t>Greece</t>
  </si>
  <si>
    <t>Ireland</t>
  </si>
  <si>
    <t>Italy</t>
  </si>
  <si>
    <t>Japan</t>
  </si>
  <si>
    <t>Canada</t>
  </si>
  <si>
    <t>Netherlands</t>
  </si>
  <si>
    <t>Norway</t>
  </si>
  <si>
    <t>Austria</t>
  </si>
  <si>
    <t>Portugal</t>
  </si>
  <si>
    <t>Sweden</t>
  </si>
  <si>
    <t>Switzerland</t>
  </si>
  <si>
    <t>Spain</t>
  </si>
  <si>
    <t>USA</t>
  </si>
  <si>
    <t>UK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</si>
  <si>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</si>
  <si>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</si>
  <si>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</si>
  <si>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</si>
  <si>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</si>
  <si>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</si>
  <si>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</si>
  <si>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</si>
  <si>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</si>
  <si>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</si>
  <si>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</si>
  <si>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Intercept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</si>
  <si>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</si>
  <si>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</si>
  <si>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</si>
  <si>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</si>
  <si>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</si>
  <si>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</si>
  <si>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</si>
  <si>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</si>
  <si>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</si>
  <si>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</si>
  <si>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</si>
  <si>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</si>
  <si>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beer(%)</t>
  </si>
  <si>
    <t>wine(%)</t>
  </si>
  <si>
    <t>spirits(%)</t>
  </si>
  <si>
    <t>total(L)</t>
  </si>
  <si>
    <t>beer(L)</t>
  </si>
  <si>
    <t>wine(L)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</si>
</sst>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</borders>
  <cellStyleXfs count="5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6">
    <xf numFmtId="0" fontId="0" fillId="0" borderId="0" xfId="0"/>
    <xf numFmtId="0" fontId="0" fillId="0" borderId="0" xfId="0" applyFill="1" applyBorder="1" applyAlignment="1"/>
    <xf numFmtId="0" fontId="0" fillId="0" borderId="1" xfId="0" applyFill="1" applyBorder="1" applyAlignment="1"/>
    <xf numFmtId="0" fontId="1" fillId="0" borderId="2" xfId="0" applyFont="1" applyFill="1" applyBorder="1" applyAlignment="1">
      <alignment horizontal="center"/>
    </xf>
    <xf numFmtId="0" fontId="1" fillId="0" borderId="2" xfId="0" applyFont="1" applyFill="1" applyBorder="1" applyAlignment="1">
      <alignment horizontal="centerContinuous"/>
    </xf>
    <xf numFmtId="0" fontId="2" fillId="0" borderId="0" xfId="0" applyFont="1"/>
  </cellXfs>
  <cellStyles count="5">
    <cellStyle name="Followed Hyperlink" xfId="2" builtinId="9" hidden="1"/>
    <cellStyle name="Followed Hyperlink" xfId="4" builtinId="9" hidden="1"/>
    <cellStyle name="Hyperlink" xfId="1" builtinId="8" hidden="1"/>
    <cellStyle name="Hyperlink" xfId="3" builtinId="8" hidde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</a:t>
            </a:r>
            <a:r>
              <a:rPr lang="en-US" altLang="zh-CN"/>
              <a:t>hocolate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Australia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Belgium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tx>
                <c:rich>
                  <a:bodyPr/>
                  <a:lstStyle/>
                  <a:p>
                    <a:r>
                      <a:rPr lang="en-US"/>
                      <a:t>Brazil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2.9043789097408401E-2"/>
                  <c:y val="4.756677643615080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China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/>
              <c:tx>
                <c:rich>
                  <a:bodyPr/>
                  <a:lstStyle/>
                  <a:p>
                    <a:r>
                      <a:rPr lang="en-US"/>
                      <a:t>Denmark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tx>
                <c:rich>
                  <a:bodyPr/>
                  <a:lstStyle/>
                  <a:p>
                    <a:r>
                      <a:rPr lang="en-US"/>
                      <a:t>Germany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tx>
                <c:rich>
                  <a:bodyPr/>
                  <a:lstStyle/>
                  <a:p>
                    <a:r>
                      <a:rPr lang="en-US"/>
                      <a:t>Finland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/>
              <c:tx>
                <c:rich>
                  <a:bodyPr/>
                  <a:lstStyle/>
                  <a:p>
                    <a:r>
                      <a:rPr lang="en-US"/>
                      <a:t>France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>
                <c:manualLayout>
                  <c:x val="0.10723860589812299"/>
                  <c:y val="1.097694840834250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Greece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/>
              <c:tx>
                <c:rich>
                  <a:bodyPr/>
                  <a:lstStyle/>
                  <a:p>
                    <a:r>
                      <a:rPr lang="en-US"/>
                      <a:t>Ireland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"/>
              <c:layout/>
              <c:tx>
                <c:rich>
                  <a:bodyPr/>
                  <a:lstStyle/>
                  <a:p>
                    <a:r>
                      <a:rPr lang="en-US"/>
                      <a:t>Italy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"/>
              <c:layout>
                <c:manualLayout>
                  <c:x val="-0.120643431635389"/>
                  <c:y val="-0.10245151847786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Japan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2"/>
              <c:layout/>
              <c:tx>
                <c:rich>
                  <a:bodyPr/>
                  <a:lstStyle/>
                  <a:p>
                    <a:r>
                      <a:rPr lang="en-US"/>
                      <a:t>Canada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3"/>
              <c:layout>
                <c:manualLayout>
                  <c:x val="-5.6662758890191497E-2"/>
                  <c:y val="-7.799253984401509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Netherlands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4"/>
              <c:layout/>
              <c:tx>
                <c:rich>
                  <a:bodyPr/>
                  <a:lstStyle/>
                  <a:p>
                    <a:r>
                      <a:rPr lang="en-US"/>
                      <a:t>Norway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5"/>
              <c:layout>
                <c:manualLayout>
                  <c:x val="5.6662758890191497E-2"/>
                  <c:y val="7.121057985757879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Austria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6"/>
              <c:layout>
                <c:manualLayout>
                  <c:x val="4.4682752457551302E-2"/>
                  <c:y val="-0.135382363702891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Portugal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7"/>
              <c:layout/>
              <c:tx>
                <c:rich>
                  <a:bodyPr/>
                  <a:lstStyle/>
                  <a:p>
                    <a:r>
                      <a:rPr lang="en-US"/>
                      <a:t>Sweden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8"/>
              <c:layout/>
              <c:tx>
                <c:rich>
                  <a:bodyPr/>
                  <a:lstStyle/>
                  <a:p>
                    <a:r>
                      <a:rPr lang="en-US"/>
                      <a:t>Switzerland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9"/>
              <c:layout>
                <c:manualLayout>
                  <c:x val="1.34048257372654E-2"/>
                  <c:y val="-0.124405415294548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Spain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0"/>
              <c:layout>
                <c:manualLayout>
                  <c:x val="4.9151027703306503E-2"/>
                  <c:y val="-0.124405415294548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USA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1"/>
              <c:layout/>
              <c:tx>
                <c:rich>
                  <a:bodyPr/>
                  <a:lstStyle/>
                  <a:p>
                    <a:r>
                      <a:rPr lang="en-US"/>
                      <a:t>UK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chocolate!$B$2:$B$23</c:f>
              <c:numCache>
                <c:formatCode>General</c:formatCode>
                <c:ptCount val="22"/>
                <c:pt idx="0">
                  <c:v>4.8</c:v>
                </c:pt>
                <c:pt idx="1">
                  <c:v>9.1</c:v>
                </c:pt>
                <c:pt idx="2">
                  <c:v>1</c:v>
                </c:pt>
                <c:pt idx="3">
                  <c:v>0.7</c:v>
                </c:pt>
                <c:pt idx="4">
                  <c:v>7.9</c:v>
                </c:pt>
                <c:pt idx="5">
                  <c:v>9.1</c:v>
                </c:pt>
                <c:pt idx="6">
                  <c:v>6.2</c:v>
                </c:pt>
                <c:pt idx="7">
                  <c:v>4.9000000000000004</c:v>
                </c:pt>
                <c:pt idx="8">
                  <c:v>2.5</c:v>
                </c:pt>
                <c:pt idx="9">
                  <c:v>8.8000000000000007</c:v>
                </c:pt>
                <c:pt idx="10">
                  <c:v>3.5</c:v>
                </c:pt>
                <c:pt idx="11">
                  <c:v>1.8</c:v>
                </c:pt>
                <c:pt idx="12">
                  <c:v>3.9</c:v>
                </c:pt>
                <c:pt idx="13">
                  <c:v>4.5</c:v>
                </c:pt>
                <c:pt idx="14">
                  <c:v>9.1999999999999993</c:v>
                </c:pt>
                <c:pt idx="15">
                  <c:v>8.5</c:v>
                </c:pt>
                <c:pt idx="16">
                  <c:v>2</c:v>
                </c:pt>
                <c:pt idx="17">
                  <c:v>4.4000000000000004</c:v>
                </c:pt>
                <c:pt idx="18">
                  <c:v>10.199999999999999</c:v>
                </c:pt>
                <c:pt idx="19">
                  <c:v>1.6</c:v>
                </c:pt>
                <c:pt idx="20">
                  <c:v>5.3</c:v>
                </c:pt>
                <c:pt idx="21">
                  <c:v>8.8000000000000007</c:v>
                </c:pt>
              </c:numCache>
            </c:numRef>
          </c:xVal>
          <c:yVal>
            <c:numRef>
              <c:f>chocolate!$C$2:$C$23</c:f>
              <c:numCache>
                <c:formatCode>General</c:formatCode>
                <c:ptCount val="22"/>
                <c:pt idx="0">
                  <c:v>5.0060000000000002</c:v>
                </c:pt>
                <c:pt idx="1">
                  <c:v>8.85</c:v>
                </c:pt>
                <c:pt idx="2">
                  <c:v>4.8000000000000001E-2</c:v>
                </c:pt>
                <c:pt idx="3">
                  <c:v>6.5000000000000002E-2</c:v>
                </c:pt>
                <c:pt idx="4">
                  <c:v>24.695</c:v>
                </c:pt>
                <c:pt idx="5">
                  <c:v>13.013</c:v>
                </c:pt>
                <c:pt idx="6">
                  <c:v>7.2679999999999998</c:v>
                </c:pt>
                <c:pt idx="7">
                  <c:v>9.4730000000000008</c:v>
                </c:pt>
                <c:pt idx="8">
                  <c:v>1.8260000000000001</c:v>
                </c:pt>
                <c:pt idx="9">
                  <c:v>14.93</c:v>
                </c:pt>
                <c:pt idx="10">
                  <c:v>3.3450000000000002</c:v>
                </c:pt>
                <c:pt idx="11">
                  <c:v>1.8959999999999999</c:v>
                </c:pt>
                <c:pt idx="12">
                  <c:v>6.4</c:v>
                </c:pt>
                <c:pt idx="13">
                  <c:v>11.226000000000001</c:v>
                </c:pt>
                <c:pt idx="14">
                  <c:v>24.946999999999999</c:v>
                </c:pt>
                <c:pt idx="15">
                  <c:v>24.577000000000002</c:v>
                </c:pt>
                <c:pt idx="16">
                  <c:v>1.9319999999999999</c:v>
                </c:pt>
                <c:pt idx="17">
                  <c:v>30.677</c:v>
                </c:pt>
                <c:pt idx="18">
                  <c:v>30.125</c:v>
                </c:pt>
                <c:pt idx="19">
                  <c:v>1.7350000000000001</c:v>
                </c:pt>
                <c:pt idx="20">
                  <c:v>10.97</c:v>
                </c:pt>
                <c:pt idx="21">
                  <c:v>19.315000000000001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066040"/>
        <c:axId val="478066432"/>
      </c:scatterChart>
      <c:valAx>
        <c:axId val="478066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066432"/>
        <c:crosses val="autoZero"/>
        <c:crossBetween val="midCat"/>
      </c:valAx>
      <c:valAx>
        <c:axId val="478066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0660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Australia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Belgium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tx>
                <c:rich>
                  <a:bodyPr/>
                  <a:lstStyle/>
                  <a:p>
                    <a:r>
                      <a:rPr lang="en-US"/>
                      <a:t>Brazil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tx>
                <c:rich>
                  <a:bodyPr/>
                  <a:lstStyle/>
                  <a:p>
                    <a:r>
                      <a:rPr lang="en-US"/>
                      <a:t>China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4.2408821034775196E-3"/>
                  <c:y val="4.350736278447119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Denmark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tx>
                <c:rich>
                  <a:bodyPr/>
                  <a:lstStyle/>
                  <a:p>
                    <a:r>
                      <a:rPr lang="en-US"/>
                      <a:t>Germany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tx>
                <c:rich>
                  <a:bodyPr/>
                  <a:lstStyle/>
                  <a:p>
                    <a:r>
                      <a:rPr lang="en-US"/>
                      <a:t>Finland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/>
              <c:tx>
                <c:rich>
                  <a:bodyPr/>
                  <a:lstStyle/>
                  <a:p>
                    <a:r>
                      <a:rPr lang="en-US"/>
                      <a:t>France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/>
              <c:tx>
                <c:rich>
                  <a:bodyPr/>
                  <a:lstStyle/>
                  <a:p>
                    <a:r>
                      <a:rPr lang="en-US"/>
                      <a:t>Greece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/>
              <c:tx>
                <c:rich>
                  <a:bodyPr/>
                  <a:lstStyle/>
                  <a:p>
                    <a:r>
                      <a:rPr lang="en-US"/>
                      <a:t>Ireland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"/>
              <c:layout/>
              <c:tx>
                <c:rich>
                  <a:bodyPr/>
                  <a:lstStyle/>
                  <a:p>
                    <a:r>
                      <a:rPr lang="en-US"/>
                      <a:t>Italy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"/>
              <c:layout/>
              <c:tx>
                <c:rich>
                  <a:bodyPr/>
                  <a:lstStyle/>
                  <a:p>
                    <a:r>
                      <a:rPr lang="en-US"/>
                      <a:t>Japan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2"/>
              <c:layout/>
              <c:tx>
                <c:rich>
                  <a:bodyPr/>
                  <a:lstStyle/>
                  <a:p>
                    <a:r>
                      <a:rPr lang="en-US"/>
                      <a:t>Canada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3"/>
              <c:layout/>
              <c:tx>
                <c:rich>
                  <a:bodyPr/>
                  <a:lstStyle/>
                  <a:p>
                    <a:r>
                      <a:rPr lang="en-US"/>
                      <a:t>Netherlands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4"/>
              <c:layout/>
              <c:tx>
                <c:rich>
                  <a:bodyPr/>
                  <a:lstStyle/>
                  <a:p>
                    <a:r>
                      <a:rPr lang="en-US"/>
                      <a:t>Norway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5"/>
              <c:layout/>
              <c:tx>
                <c:rich>
                  <a:bodyPr/>
                  <a:lstStyle/>
                  <a:p>
                    <a:r>
                      <a:rPr lang="en-US"/>
                      <a:t>Austria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6"/>
              <c:layout>
                <c:manualLayout>
                  <c:x val="0"/>
                  <c:y val="8.032128514056220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Portugal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7"/>
              <c:layout/>
              <c:tx>
                <c:rich>
                  <a:bodyPr/>
                  <a:lstStyle/>
                  <a:p>
                    <a:r>
                      <a:rPr lang="en-US"/>
                      <a:t>Sweden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8"/>
              <c:layout>
                <c:manualLayout>
                  <c:x val="-0.15479219677693001"/>
                  <c:y val="-2.677376171352080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Switzerland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9"/>
              <c:layout>
                <c:manualLayout>
                  <c:x val="-7.77486070718779E-17"/>
                  <c:y val="-8.366800535475239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Spain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0"/>
              <c:layout/>
              <c:tx>
                <c:rich>
                  <a:bodyPr/>
                  <a:lstStyle/>
                  <a:p>
                    <a:r>
                      <a:rPr lang="en-US"/>
                      <a:t>USA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en-US"/>
                      <a:t>UK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coffe!$B$2:$B$23</c:f>
              <c:numCache>
                <c:formatCode>General</c:formatCode>
                <c:ptCount val="22"/>
                <c:pt idx="0">
                  <c:v>3</c:v>
                </c:pt>
                <c:pt idx="1">
                  <c:v>6.9</c:v>
                </c:pt>
                <c:pt idx="2">
                  <c:v>5.8</c:v>
                </c:pt>
                <c:pt idx="3">
                  <c:v>8.6999999999999993</c:v>
                </c:pt>
                <c:pt idx="4">
                  <c:v>5.5</c:v>
                </c:pt>
                <c:pt idx="5">
                  <c:v>12</c:v>
                </c:pt>
                <c:pt idx="6">
                  <c:v>5.4</c:v>
                </c:pt>
                <c:pt idx="7">
                  <c:v>5.4</c:v>
                </c:pt>
                <c:pt idx="8">
                  <c:v>3.5</c:v>
                </c:pt>
                <c:pt idx="9">
                  <c:v>5.9</c:v>
                </c:pt>
                <c:pt idx="10">
                  <c:v>3.3</c:v>
                </c:pt>
                <c:pt idx="11">
                  <c:v>6.5</c:v>
                </c:pt>
                <c:pt idx="12">
                  <c:v>8.4</c:v>
                </c:pt>
                <c:pt idx="13">
                  <c:v>9.9</c:v>
                </c:pt>
                <c:pt idx="14">
                  <c:v>6.1</c:v>
                </c:pt>
                <c:pt idx="15">
                  <c:v>4.3</c:v>
                </c:pt>
                <c:pt idx="16">
                  <c:v>8.1999999999999993</c:v>
                </c:pt>
                <c:pt idx="17">
                  <c:v>7.9</c:v>
                </c:pt>
                <c:pt idx="18">
                  <c:v>4.5</c:v>
                </c:pt>
                <c:pt idx="19">
                  <c:v>4.2</c:v>
                </c:pt>
                <c:pt idx="20">
                  <c:v>2.8</c:v>
                </c:pt>
              </c:numCache>
            </c:numRef>
          </c:xVal>
          <c:yVal>
            <c:numRef>
              <c:f>coffe!$C$2:$C$23</c:f>
              <c:numCache>
                <c:formatCode>General</c:formatCode>
                <c:ptCount val="22"/>
                <c:pt idx="0">
                  <c:v>5.0060000000000002</c:v>
                </c:pt>
                <c:pt idx="1">
                  <c:v>8.85</c:v>
                </c:pt>
                <c:pt idx="2">
                  <c:v>4.8000000000000001E-2</c:v>
                </c:pt>
                <c:pt idx="3">
                  <c:v>24.695</c:v>
                </c:pt>
                <c:pt idx="4">
                  <c:v>13.013</c:v>
                </c:pt>
                <c:pt idx="5">
                  <c:v>7.2679999999999998</c:v>
                </c:pt>
                <c:pt idx="6">
                  <c:v>9.4730000000000008</c:v>
                </c:pt>
                <c:pt idx="7">
                  <c:v>1.8260000000000001</c:v>
                </c:pt>
                <c:pt idx="8">
                  <c:v>14.93</c:v>
                </c:pt>
                <c:pt idx="9">
                  <c:v>3.3450000000000002</c:v>
                </c:pt>
                <c:pt idx="10">
                  <c:v>1.8959999999999999</c:v>
                </c:pt>
                <c:pt idx="11">
                  <c:v>6.4</c:v>
                </c:pt>
                <c:pt idx="12">
                  <c:v>11.226000000000001</c:v>
                </c:pt>
                <c:pt idx="13">
                  <c:v>24.946999999999999</c:v>
                </c:pt>
                <c:pt idx="14">
                  <c:v>24.577000000000002</c:v>
                </c:pt>
                <c:pt idx="15">
                  <c:v>1.9319999999999999</c:v>
                </c:pt>
                <c:pt idx="16">
                  <c:v>30.677</c:v>
                </c:pt>
                <c:pt idx="17">
                  <c:v>30.125</c:v>
                </c:pt>
                <c:pt idx="18">
                  <c:v>1.7350000000000001</c:v>
                </c:pt>
                <c:pt idx="19">
                  <c:v>10.97</c:v>
                </c:pt>
                <c:pt idx="20">
                  <c:v>19.315000000000001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066824"/>
        <c:axId val="478067608"/>
      </c:scatterChart>
      <c:valAx>
        <c:axId val="478066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067608"/>
        <c:crosses val="autoZero"/>
        <c:crossBetween val="midCat"/>
      </c:valAx>
      <c:valAx>
        <c:axId val="478067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066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Alcohol</a:t>
            </a:r>
            <a:r>
              <a:rPr lang="en-US" baseline="0"/>
              <a:t> consumption and Nobel Laureates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Australia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Belgium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tx>
                <c:rich>
                  <a:bodyPr/>
                  <a:lstStyle/>
                  <a:p>
                    <a:r>
                      <a:rPr lang="en-US"/>
                      <a:t>Brazil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tx>
                <c:rich>
                  <a:bodyPr/>
                  <a:lstStyle/>
                  <a:p>
                    <a:r>
                      <a:rPr lang="en-US"/>
                      <a:t>China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/>
              <c:tx>
                <c:rich>
                  <a:bodyPr/>
                  <a:lstStyle/>
                  <a:p>
                    <a:r>
                      <a:rPr lang="en-US"/>
                      <a:t>Denmark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tx>
                <c:rich>
                  <a:bodyPr/>
                  <a:lstStyle/>
                  <a:p>
                    <a:r>
                      <a:rPr lang="en-US"/>
                      <a:t>Germany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tx>
                <c:rich>
                  <a:bodyPr/>
                  <a:lstStyle/>
                  <a:p>
                    <a:r>
                      <a:rPr lang="en-US"/>
                      <a:t>Finland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/>
              <c:tx>
                <c:rich>
                  <a:bodyPr/>
                  <a:lstStyle/>
                  <a:p>
                    <a:r>
                      <a:rPr lang="en-US"/>
                      <a:t>France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>
                <c:manualLayout>
                  <c:x val="-7.7720207253885995E-2"/>
                  <c:y val="-3.033367037411539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Greece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/>
              <c:tx>
                <c:rich>
                  <a:bodyPr/>
                  <a:lstStyle/>
                  <a:p>
                    <a:r>
                      <a:rPr lang="en-US"/>
                      <a:t>Ireland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"/>
              <c:layout/>
              <c:tx>
                <c:rich>
                  <a:bodyPr/>
                  <a:lstStyle/>
                  <a:p>
                    <a:r>
                      <a:rPr lang="en-US"/>
                      <a:t>Italy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"/>
              <c:layout/>
              <c:tx>
                <c:rich>
                  <a:bodyPr/>
                  <a:lstStyle/>
                  <a:p>
                    <a:r>
                      <a:rPr lang="en-US"/>
                      <a:t>Japan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2"/>
              <c:layout/>
              <c:tx>
                <c:rich>
                  <a:bodyPr/>
                  <a:lstStyle/>
                  <a:p>
                    <a:r>
                      <a:rPr lang="en-US"/>
                      <a:t>Canada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3"/>
              <c:layout>
                <c:manualLayout>
                  <c:x val="-8.6355785837651106E-3"/>
                  <c:y val="-6.740815638692289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Netherlands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4"/>
              <c:layout/>
              <c:tx>
                <c:rich>
                  <a:bodyPr/>
                  <a:lstStyle/>
                  <a:p>
                    <a:r>
                      <a:rPr lang="en-US"/>
                      <a:t>Norway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5"/>
              <c:layout/>
              <c:tx>
                <c:rich>
                  <a:bodyPr/>
                  <a:lstStyle/>
                  <a:p>
                    <a:r>
                      <a:rPr lang="en-US"/>
                      <a:t>Austria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6"/>
              <c:layout/>
              <c:tx>
                <c:rich>
                  <a:bodyPr/>
                  <a:lstStyle/>
                  <a:p>
                    <a:r>
                      <a:rPr lang="en-US"/>
                      <a:t>Portugal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7"/>
              <c:layout/>
              <c:tx>
                <c:rich>
                  <a:bodyPr/>
                  <a:lstStyle/>
                  <a:p>
                    <a:r>
                      <a:rPr lang="en-US"/>
                      <a:t>Sweden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8"/>
              <c:layout/>
              <c:tx>
                <c:rich>
                  <a:bodyPr/>
                  <a:lstStyle/>
                  <a:p>
                    <a:r>
                      <a:rPr lang="en-US"/>
                      <a:t>Switzerland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9"/>
              <c:layout/>
              <c:tx>
                <c:rich>
                  <a:bodyPr/>
                  <a:lstStyle/>
                  <a:p>
                    <a:r>
                      <a:rPr lang="en-US"/>
                      <a:t>Spain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0"/>
              <c:layout>
                <c:manualLayout>
                  <c:x val="-2.1588946459412798E-3"/>
                  <c:y val="5.729693292888429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USA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1"/>
              <c:layout/>
              <c:tx>
                <c:rich>
                  <a:bodyPr/>
                  <a:lstStyle/>
                  <a:p>
                    <a:r>
                      <a:rPr lang="en-US"/>
                      <a:t>UK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alcohol!$B$2:$B$23</c:f>
              <c:numCache>
                <c:formatCode>General</c:formatCode>
                <c:ptCount val="22"/>
                <c:pt idx="0">
                  <c:v>12.2</c:v>
                </c:pt>
                <c:pt idx="1">
                  <c:v>11</c:v>
                </c:pt>
                <c:pt idx="2">
                  <c:v>8.6999999999999993</c:v>
                </c:pt>
                <c:pt idx="3">
                  <c:v>6.7</c:v>
                </c:pt>
                <c:pt idx="4">
                  <c:v>11.4</c:v>
                </c:pt>
                <c:pt idx="5">
                  <c:v>11.8</c:v>
                </c:pt>
                <c:pt idx="6">
                  <c:v>12.3</c:v>
                </c:pt>
                <c:pt idx="7">
                  <c:v>12.2</c:v>
                </c:pt>
                <c:pt idx="8">
                  <c:v>10.3</c:v>
                </c:pt>
                <c:pt idx="9">
                  <c:v>11.9</c:v>
                </c:pt>
                <c:pt idx="10">
                  <c:v>6.7</c:v>
                </c:pt>
                <c:pt idx="11">
                  <c:v>7.2</c:v>
                </c:pt>
                <c:pt idx="12">
                  <c:v>10.199999999999999</c:v>
                </c:pt>
                <c:pt idx="13">
                  <c:v>9.9</c:v>
                </c:pt>
                <c:pt idx="14">
                  <c:v>7.7</c:v>
                </c:pt>
                <c:pt idx="15">
                  <c:v>10.3</c:v>
                </c:pt>
                <c:pt idx="16">
                  <c:v>12.9</c:v>
                </c:pt>
                <c:pt idx="17">
                  <c:v>9.1999999999999993</c:v>
                </c:pt>
                <c:pt idx="18">
                  <c:v>10.7</c:v>
                </c:pt>
                <c:pt idx="19">
                  <c:v>11.2</c:v>
                </c:pt>
                <c:pt idx="20">
                  <c:v>9.1999999999999993</c:v>
                </c:pt>
                <c:pt idx="21">
                  <c:v>11.6</c:v>
                </c:pt>
              </c:numCache>
            </c:numRef>
          </c:xVal>
          <c:yVal>
            <c:numRef>
              <c:f>alcohol!$C$2:$C$23</c:f>
              <c:numCache>
                <c:formatCode>General</c:formatCode>
                <c:ptCount val="22"/>
                <c:pt idx="0">
                  <c:v>5.0060000000000002</c:v>
                </c:pt>
                <c:pt idx="1">
                  <c:v>8.85</c:v>
                </c:pt>
                <c:pt idx="2">
                  <c:v>4.8000000000000001E-2</c:v>
                </c:pt>
                <c:pt idx="3">
                  <c:v>6.5000000000000002E-2</c:v>
                </c:pt>
                <c:pt idx="4">
                  <c:v>24.695</c:v>
                </c:pt>
                <c:pt idx="5">
                  <c:v>13.013</c:v>
                </c:pt>
                <c:pt idx="6">
                  <c:v>7.2679999999999998</c:v>
                </c:pt>
                <c:pt idx="7">
                  <c:v>9.4730000000000008</c:v>
                </c:pt>
                <c:pt idx="8">
                  <c:v>1.8260000000000001</c:v>
                </c:pt>
                <c:pt idx="9">
                  <c:v>14.93</c:v>
                </c:pt>
                <c:pt idx="10">
                  <c:v>3.3450000000000002</c:v>
                </c:pt>
                <c:pt idx="11">
                  <c:v>1.8959999999999999</c:v>
                </c:pt>
                <c:pt idx="12">
                  <c:v>6.4</c:v>
                </c:pt>
                <c:pt idx="13">
                  <c:v>11.226000000000001</c:v>
                </c:pt>
                <c:pt idx="14">
                  <c:v>24.946999999999999</c:v>
                </c:pt>
                <c:pt idx="15">
                  <c:v>24.577000000000002</c:v>
                </c:pt>
                <c:pt idx="16">
                  <c:v>1.9319999999999999</c:v>
                </c:pt>
                <c:pt idx="17">
                  <c:v>30.677</c:v>
                </c:pt>
                <c:pt idx="18">
                  <c:v>30.125</c:v>
                </c:pt>
                <c:pt idx="19">
                  <c:v>1.7350000000000001</c:v>
                </c:pt>
                <c:pt idx="20">
                  <c:v>10.97</c:v>
                </c:pt>
                <c:pt idx="21">
                  <c:v>19.315000000000001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067216"/>
        <c:axId val="478068392"/>
      </c:scatterChart>
      <c:valAx>
        <c:axId val="478067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068392"/>
        <c:crosses val="autoZero"/>
        <c:crossBetween val="midCat"/>
      </c:valAx>
      <c:valAx>
        <c:axId val="478068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067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Wine consumption</a:t>
            </a:r>
            <a:r>
              <a:rPr lang="en-US" baseline="0"/>
              <a:t> and </a:t>
            </a:r>
            <a:r>
              <a:rPr lang="en-US"/>
              <a:t>Nobel Laureates/10 million</a:t>
            </a:r>
          </a:p>
        </c:rich>
      </c:tx>
      <c:layout>
        <c:manualLayout>
          <c:xMode val="edge"/>
          <c:yMode val="edge"/>
          <c:x val="0.11132633420822401"/>
          <c:y val="4.16666666666666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'alcohol(separate)'!$H$1</c:f>
              <c:strCache>
                <c:ptCount val="1"/>
                <c:pt idx="0">
                  <c:v>Nobel Laureates/10 million</c:v>
                </c:pt>
              </c:strCache>
            </c:strRef>
          </c:tx>
          <c:spPr>
            <a:ln w="317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'alcohol(separate)'!$G$2:$G$23</c:f>
              <c:numCache>
                <c:formatCode>General</c:formatCode>
                <c:ptCount val="22"/>
                <c:pt idx="0">
                  <c:v>4.4774000000000003</c:v>
                </c:pt>
                <c:pt idx="1">
                  <c:v>3.9929999999999994</c:v>
                </c:pt>
                <c:pt idx="2">
                  <c:v>0.34799999999999998</c:v>
                </c:pt>
                <c:pt idx="3">
                  <c:v>0.20100000000000001</c:v>
                </c:pt>
                <c:pt idx="4">
                  <c:v>5.4948000000000006</c:v>
                </c:pt>
                <c:pt idx="5">
                  <c:v>3.2804000000000002</c:v>
                </c:pt>
                <c:pt idx="6">
                  <c:v>2.1524999999999999</c:v>
                </c:pt>
                <c:pt idx="7">
                  <c:v>6.8807999999999998</c:v>
                </c:pt>
                <c:pt idx="8">
                  <c:v>4.8719000000000001</c:v>
                </c:pt>
                <c:pt idx="9">
                  <c:v>3.1059000000000005</c:v>
                </c:pt>
                <c:pt idx="10">
                  <c:v>4.3952</c:v>
                </c:pt>
                <c:pt idx="11">
                  <c:v>0.29520000000000002</c:v>
                </c:pt>
                <c:pt idx="12">
                  <c:v>2.2439999999999998</c:v>
                </c:pt>
                <c:pt idx="13">
                  <c:v>3.6036000000000001</c:v>
                </c:pt>
                <c:pt idx="14">
                  <c:v>2.6719000000000004</c:v>
                </c:pt>
                <c:pt idx="15">
                  <c:v>3.6565000000000003</c:v>
                </c:pt>
                <c:pt idx="16">
                  <c:v>7.1595000000000004</c:v>
                </c:pt>
                <c:pt idx="17">
                  <c:v>4.2871999999999995</c:v>
                </c:pt>
                <c:pt idx="18">
                  <c:v>5.2857999999999992</c:v>
                </c:pt>
                <c:pt idx="19">
                  <c:v>2.2512000000000003</c:v>
                </c:pt>
                <c:pt idx="20">
                  <c:v>1.5915999999999999</c:v>
                </c:pt>
                <c:pt idx="21">
                  <c:v>3.9207999999999994</c:v>
                </c:pt>
              </c:numCache>
            </c:numRef>
          </c:xVal>
          <c:yVal>
            <c:numRef>
              <c:f>'alcohol(separate)'!$H$2:$H$23</c:f>
              <c:numCache>
                <c:formatCode>General</c:formatCode>
                <c:ptCount val="22"/>
                <c:pt idx="0">
                  <c:v>5.0060000000000002</c:v>
                </c:pt>
                <c:pt idx="1">
                  <c:v>8.85</c:v>
                </c:pt>
                <c:pt idx="2">
                  <c:v>4.8000000000000001E-2</c:v>
                </c:pt>
                <c:pt idx="3">
                  <c:v>6.5000000000000002E-2</c:v>
                </c:pt>
                <c:pt idx="4">
                  <c:v>24.695</c:v>
                </c:pt>
                <c:pt idx="5">
                  <c:v>13.013</c:v>
                </c:pt>
                <c:pt idx="6">
                  <c:v>7.2679999999999998</c:v>
                </c:pt>
                <c:pt idx="7">
                  <c:v>9.4730000000000008</c:v>
                </c:pt>
                <c:pt idx="8">
                  <c:v>1.8260000000000001</c:v>
                </c:pt>
                <c:pt idx="9">
                  <c:v>14.93</c:v>
                </c:pt>
                <c:pt idx="10">
                  <c:v>3.3450000000000002</c:v>
                </c:pt>
                <c:pt idx="11">
                  <c:v>1.8959999999999999</c:v>
                </c:pt>
                <c:pt idx="12">
                  <c:v>6.4</c:v>
                </c:pt>
                <c:pt idx="13">
                  <c:v>11.226000000000001</c:v>
                </c:pt>
                <c:pt idx="14">
                  <c:v>24.946999999999999</c:v>
                </c:pt>
                <c:pt idx="15">
                  <c:v>24.577000000000002</c:v>
                </c:pt>
                <c:pt idx="16">
                  <c:v>1.9319999999999999</c:v>
                </c:pt>
                <c:pt idx="17">
                  <c:v>30.677</c:v>
                </c:pt>
                <c:pt idx="18">
                  <c:v>30.125</c:v>
                </c:pt>
                <c:pt idx="19">
                  <c:v>1.7350000000000001</c:v>
                </c:pt>
                <c:pt idx="20">
                  <c:v>10.97</c:v>
                </c:pt>
                <c:pt idx="21">
                  <c:v>19.315000000000001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068784"/>
        <c:axId val="478070352"/>
      </c:scatterChart>
      <c:valAx>
        <c:axId val="478068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070352"/>
        <c:crosses val="autoZero"/>
        <c:crossBetween val="midCat"/>
      </c:valAx>
      <c:valAx>
        <c:axId val="47807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0687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601980</xdr:colOff>
      <xdr:row>0</xdr:row>
      <xdr:rowOff>179070</xdr:rowOff>
    </xdr:from>
    <xdr:to>
      <xdr:col>17</xdr:col>
      <xdr:colOff>396240</xdr:colOff>
      <xdr:row>21</xdr:row>
      <xdr:rowOff>83820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487680</xdr:colOff>
      <xdr:row>2</xdr:row>
      <xdr:rowOff>20320</xdr:rowOff>
    </xdr:from>
    <xdr:to>
      <xdr:col>14</xdr:col>
      <xdr:colOff>381000</xdr:colOff>
      <xdr:row>22</xdr:row>
      <xdr:rowOff>165100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627380</xdr:colOff>
      <xdr:row>0</xdr:row>
      <xdr:rowOff>187960</xdr:rowOff>
    </xdr:from>
    <xdr:to>
      <xdr:col>13</xdr:col>
      <xdr:colOff>350520</xdr:colOff>
      <xdr:row>21</xdr:row>
      <xdr:rowOff>115570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647700</xdr:colOff>
      <xdr:row>4</xdr:row>
      <xdr:rowOff>63500</xdr:rowOff>
    </xdr:from>
    <xdr:to>
      <xdr:col>18</xdr:col>
      <xdr:colOff>266700</xdr:colOff>
      <xdr:row>18</xdr:row>
      <xdr:rowOff>139700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3"/>
  <sheetViews>
    <sheetView workbookViewId="0">
      <selection activeCell="C1" sqref="C1:C23"/>
    </sheetView>
  </sheetViews>
  <sheetFormatPr defaultColWidth="8.77734375" defaultRowHeight="14.4" x14ac:dyDescent="0.3"/>
  <cols>
    <col min="3" max="3" width="18.109375" customWidth="1"/>
  </cols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 t="s">
        <v>5</v>
      </c>
      <c r="B2">
        <v>4.8</v>
      </c>
      <c r="C2">
        <v>5.0060000000000002</v>
      </c>
    </row>
    <row r="3" spans="1:3" x14ac:dyDescent="0.3">
      <c r="A3" t="s">
        <v>6</v>
      </c>
      <c r="B3">
        <v>9.1</v>
      </c>
      <c r="C3">
        <v>8.85</v>
      </c>
    </row>
    <row r="4" spans="1:3" x14ac:dyDescent="0.3">
      <c r="A4" t="s">
        <v>7</v>
      </c>
      <c r="B4">
        <v>1</v>
      </c>
      <c r="C4">
        <v>4.8000000000000001E-2</v>
      </c>
    </row>
    <row r="5" spans="1:3" x14ac:dyDescent="0.3">
      <c r="A5" t="s">
        <v>8</v>
      </c>
      <c r="B5">
        <v>0.7</v>
      </c>
      <c r="C5">
        <v>6.5000000000000002E-2</v>
      </c>
    </row>
    <row r="6" spans="1:3" x14ac:dyDescent="0.3">
      <c r="A6" t="s">
        <v>9</v>
      </c>
      <c r="B6">
        <v>7.9</v>
      </c>
      <c r="C6">
        <v>24.695</v>
      </c>
    </row>
    <row r="7" spans="1:3" x14ac:dyDescent="0.3">
      <c r="A7" t="s">
        <v>10</v>
      </c>
      <c r="B7">
        <v>9.1</v>
      </c>
      <c r="C7">
        <v>13.013</v>
      </c>
    </row>
    <row r="8" spans="1:3" x14ac:dyDescent="0.3">
      <c r="A8" t="s">
        <v>11</v>
      </c>
      <c r="B8">
        <v>6.2</v>
      </c>
      <c r="C8">
        <v>7.2679999999999998</v>
      </c>
    </row>
    <row r="9" spans="1:3" x14ac:dyDescent="0.3">
      <c r="A9" t="s">
        <v>12</v>
      </c>
      <c r="B9">
        <v>4.9000000000000004</v>
      </c>
      <c r="C9">
        <v>9.4730000000000008</v>
      </c>
    </row>
    <row r="10" spans="1:3" x14ac:dyDescent="0.3">
      <c r="A10" t="s">
        <v>13</v>
      </c>
      <c r="B10">
        <v>2.5</v>
      </c>
      <c r="C10">
        <v>1.8260000000000001</v>
      </c>
    </row>
    <row r="11" spans="1:3" x14ac:dyDescent="0.3">
      <c r="A11" t="s">
        <v>14</v>
      </c>
      <c r="B11">
        <v>8.8000000000000007</v>
      </c>
      <c r="C11">
        <v>14.93</v>
      </c>
    </row>
    <row r="12" spans="1:3" x14ac:dyDescent="0.3">
      <c r="A12" t="s">
        <v>15</v>
      </c>
      <c r="B12">
        <v>3.5</v>
      </c>
      <c r="C12">
        <v>3.3450000000000002</v>
      </c>
    </row>
    <row r="13" spans="1:3" x14ac:dyDescent="0.3">
      <c r="A13" t="s">
        <v>16</v>
      </c>
      <c r="B13">
        <v>1.8</v>
      </c>
      <c r="C13">
        <v>1.8959999999999999</v>
      </c>
    </row>
    <row r="14" spans="1:3" x14ac:dyDescent="0.3">
      <c r="A14" t="s">
        <v>17</v>
      </c>
      <c r="B14">
        <v>3.9</v>
      </c>
      <c r="C14">
        <v>6.4</v>
      </c>
    </row>
    <row r="15" spans="1:3" x14ac:dyDescent="0.3">
      <c r="A15" t="s">
        <v>18</v>
      </c>
      <c r="B15">
        <v>4.5</v>
      </c>
      <c r="C15">
        <v>11.226000000000001</v>
      </c>
    </row>
    <row r="16" spans="1:3" x14ac:dyDescent="0.3">
      <c r="A16" t="s">
        <v>19</v>
      </c>
      <c r="B16">
        <v>9.1999999999999993</v>
      </c>
      <c r="C16">
        <v>24.946999999999999</v>
      </c>
    </row>
    <row r="17" spans="1:3" x14ac:dyDescent="0.3">
      <c r="A17" t="s">
        <v>20</v>
      </c>
      <c r="B17">
        <v>8.5</v>
      </c>
      <c r="C17">
        <v>24.577000000000002</v>
      </c>
    </row>
    <row r="18" spans="1:3" x14ac:dyDescent="0.3">
      <c r="A18" t="s">
        <v>21</v>
      </c>
      <c r="B18">
        <v>2</v>
      </c>
      <c r="C18">
        <v>1.9319999999999999</v>
      </c>
    </row>
    <row r="19" spans="1:3" x14ac:dyDescent="0.3">
      <c r="A19" t="s">
        <v>22</v>
      </c>
      <c r="B19">
        <v>4.4000000000000004</v>
      </c>
      <c r="C19">
        <v>30.677</v>
      </c>
    </row>
    <row r="20" spans="1:3" x14ac:dyDescent="0.3">
      <c r="A20" t="s">
        <v>23</v>
      </c>
      <c r="B20">
        <v>10.199999999999999</v>
      </c>
      <c r="C20">
        <v>30.125</v>
      </c>
    </row>
    <row r="21" spans="1:3" x14ac:dyDescent="0.3">
      <c r="A21" t="s">
        <v>24</v>
      </c>
      <c r="B21">
        <v>1.6</v>
      </c>
      <c r="C21">
        <v>1.7350000000000001</v>
      </c>
    </row>
    <row r="22" spans="1:3" x14ac:dyDescent="0.3">
      <c r="A22" t="s">
        <v>25</v>
      </c>
      <c r="B22">
        <v>5.3</v>
      </c>
      <c r="C22">
        <v>10.97</v>
      </c>
    </row>
    <row r="23" spans="1:3" x14ac:dyDescent="0.3">
      <c r="A23" t="s">
        <v>26</v>
      </c>
      <c r="B23">
        <v>8.8000000000000007</v>
      </c>
      <c r="C23">
        <v>19.315000000000001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8"/>
  <sheetViews>
    <sheetView workbookViewId="0">
      <selection activeCell="A24" sqref="A24"/>
    </sheetView>
  </sheetViews>
  <sheetFormatPr defaultColWidth="11.5546875" defaultRowHeight="14.4" x14ac:dyDescent="0.3"/>
  <sheetData>
    <row r="1" spans="1:9" x14ac:dyDescent="0.3">
      <c r="A1" t="s">
        <v>27</v>
      </c>
    </row>
    <row r="2" spans="1:9" ht="15" thickBot="1" x14ac:dyDescent="0.35"/>
    <row r="3" spans="1:9" x14ac:dyDescent="0.3">
      <c r="A3" s="4" t="s">
        <v>28</v>
      </c>
      <c r="B3" s="4"/>
    </row>
    <row r="4" spans="1:9" x14ac:dyDescent="0.3">
      <c r="A4" s="1" t="s">
        <v>29</v>
      </c>
      <c r="B4" s="1">
        <v>0.75089641693334164</v>
      </c>
    </row>
    <row r="5" spans="1:9" x14ac:dyDescent="0.3">
      <c r="A5" s="1" t="s">
        <v>30</v>
      </c>
      <c r="B5" s="1">
        <v>0.56384542896333079</v>
      </c>
    </row>
    <row r="6" spans="1:9" x14ac:dyDescent="0.3">
      <c r="A6" s="1" t="s">
        <v>31</v>
      </c>
      <c r="B6" s="1">
        <v>0.54203770041149735</v>
      </c>
    </row>
    <row r="7" spans="1:9" x14ac:dyDescent="0.3">
      <c r="A7" s="1" t="s">
        <v>32</v>
      </c>
      <c r="B7" s="1">
        <v>6.7904673195906433</v>
      </c>
    </row>
    <row r="8" spans="1:9" ht="15" thickBot="1" x14ac:dyDescent="0.35">
      <c r="A8" s="2" t="s">
        <v>33</v>
      </c>
      <c r="B8" s="2">
        <v>22</v>
      </c>
    </row>
    <row r="10" spans="1:9" ht="15" thickBot="1" x14ac:dyDescent="0.35">
      <c r="A10" t="s">
        <v>34</v>
      </c>
    </row>
    <row r="11" spans="1:9" x14ac:dyDescent="0.3">
      <c r="A11" s="3"/>
      <c r="B11" s="3" t="s">
        <v>39</v>
      </c>
      <c r="C11" s="3" t="s">
        <v>40</v>
      </c>
      <c r="D11" s="3" t="s">
        <v>41</v>
      </c>
      <c r="E11" s="3" t="s">
        <v>42</v>
      </c>
      <c r="F11" s="3" t="s">
        <v>43</v>
      </c>
    </row>
    <row r="12" spans="1:9" x14ac:dyDescent="0.3">
      <c r="A12" s="1" t="s">
        <v>35</v>
      </c>
      <c r="B12" s="1">
        <v>1</v>
      </c>
      <c r="C12" s="1">
        <v>1192.1995625859745</v>
      </c>
      <c r="D12" s="1">
        <v>1192.1995625859745</v>
      </c>
      <c r="E12" s="1">
        <v>25.855302977710906</v>
      </c>
      <c r="F12" s="1">
        <v>5.6573673835191511E-5</v>
      </c>
    </row>
    <row r="13" spans="1:9" x14ac:dyDescent="0.3">
      <c r="A13" s="1" t="s">
        <v>36</v>
      </c>
      <c r="B13" s="1">
        <v>20</v>
      </c>
      <c r="C13" s="1">
        <v>922.20892836857081</v>
      </c>
      <c r="D13" s="1">
        <v>46.110446418428538</v>
      </c>
      <c r="E13" s="1"/>
      <c r="F13" s="1"/>
    </row>
    <row r="14" spans="1:9" ht="15" thickBot="1" x14ac:dyDescent="0.35">
      <c r="A14" s="2" t="s">
        <v>37</v>
      </c>
      <c r="B14" s="2">
        <v>21</v>
      </c>
      <c r="C14" s="2">
        <v>2114.4084909545454</v>
      </c>
      <c r="D14" s="2"/>
      <c r="E14" s="2"/>
      <c r="F14" s="2"/>
    </row>
    <row r="15" spans="1:9" ht="15" thickBot="1" x14ac:dyDescent="0.35"/>
    <row r="16" spans="1:9" x14ac:dyDescent="0.3">
      <c r="A16" s="3"/>
      <c r="B16" s="3" t="s">
        <v>44</v>
      </c>
      <c r="C16" s="3" t="s">
        <v>32</v>
      </c>
      <c r="D16" s="3" t="s">
        <v>45</v>
      </c>
      <c r="E16" s="3" t="s">
        <v>46</v>
      </c>
      <c r="F16" s="3" t="s">
        <v>47</v>
      </c>
      <c r="G16" s="3" t="s">
        <v>48</v>
      </c>
      <c r="H16" s="3" t="s">
        <v>49</v>
      </c>
      <c r="I16" s="3" t="s">
        <v>50</v>
      </c>
    </row>
    <row r="17" spans="1:9" x14ac:dyDescent="0.3">
      <c r="A17" s="1" t="s">
        <v>38</v>
      </c>
      <c r="B17" s="1">
        <v>-1.6520022480422654</v>
      </c>
      <c r="C17" s="1">
        <v>2.9588169821111996</v>
      </c>
      <c r="D17" s="1">
        <v>-0.55833201513650743</v>
      </c>
      <c r="E17" s="1">
        <v>0.58281498908146823</v>
      </c>
      <c r="F17" s="1">
        <v>-7.8239863198757256</v>
      </c>
      <c r="G17" s="1">
        <v>4.5199818237911948</v>
      </c>
      <c r="H17" s="1">
        <v>-7.8239863198757256</v>
      </c>
      <c r="I17" s="1">
        <v>4.5199818237911948</v>
      </c>
    </row>
    <row r="18" spans="1:9" ht="15" thickBot="1" x14ac:dyDescent="0.35">
      <c r="A18" s="2" t="s">
        <v>1</v>
      </c>
      <c r="B18" s="2">
        <v>2.4318706778174373</v>
      </c>
      <c r="C18" s="2">
        <v>0.47826176320651093</v>
      </c>
      <c r="D18" s="2">
        <v>5.0848110070789172</v>
      </c>
      <c r="E18" s="2">
        <v>5.6573673835191511E-5</v>
      </c>
      <c r="F18" s="2">
        <v>1.4342341215437329</v>
      </c>
      <c r="G18" s="2">
        <v>3.4295072340911417</v>
      </c>
      <c r="H18" s="2">
        <v>1.4342341215437329</v>
      </c>
      <c r="I18" s="2">
        <v>3.4295072340911417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2"/>
  <sheetViews>
    <sheetView workbookViewId="0">
      <selection activeCell="B2" sqref="B2:C22"/>
    </sheetView>
  </sheetViews>
  <sheetFormatPr defaultColWidth="8.77734375" defaultRowHeight="14.4" x14ac:dyDescent="0.3"/>
  <cols>
    <col min="3" max="3" width="22.77734375" customWidth="1"/>
  </cols>
  <sheetData>
    <row r="1" spans="1:3" x14ac:dyDescent="0.3">
      <c r="A1" t="s">
        <v>0</v>
      </c>
      <c r="B1" t="s">
        <v>3</v>
      </c>
      <c r="C1" t="s">
        <v>2</v>
      </c>
    </row>
    <row r="2" spans="1:3" x14ac:dyDescent="0.3">
      <c r="A2" t="s">
        <v>5</v>
      </c>
      <c r="B2">
        <v>3</v>
      </c>
      <c r="C2">
        <v>5.0060000000000002</v>
      </c>
    </row>
    <row r="3" spans="1:3" x14ac:dyDescent="0.3">
      <c r="A3" t="s">
        <v>6</v>
      </c>
      <c r="B3">
        <v>6.9</v>
      </c>
      <c r="C3">
        <v>8.85</v>
      </c>
    </row>
    <row r="4" spans="1:3" x14ac:dyDescent="0.3">
      <c r="A4" t="s">
        <v>7</v>
      </c>
      <c r="B4">
        <v>5.8</v>
      </c>
      <c r="C4">
        <v>4.8000000000000001E-2</v>
      </c>
    </row>
    <row r="5" spans="1:3" x14ac:dyDescent="0.3">
      <c r="A5" t="s">
        <v>9</v>
      </c>
      <c r="B5">
        <v>8.6999999999999993</v>
      </c>
      <c r="C5">
        <v>24.695</v>
      </c>
    </row>
    <row r="6" spans="1:3" x14ac:dyDescent="0.3">
      <c r="A6" t="s">
        <v>10</v>
      </c>
      <c r="B6">
        <v>5.5</v>
      </c>
      <c r="C6">
        <v>13.013</v>
      </c>
    </row>
    <row r="7" spans="1:3" x14ac:dyDescent="0.3">
      <c r="A7" t="s">
        <v>11</v>
      </c>
      <c r="B7">
        <v>12</v>
      </c>
      <c r="C7">
        <v>7.2679999999999998</v>
      </c>
    </row>
    <row r="8" spans="1:3" x14ac:dyDescent="0.3">
      <c r="A8" t="s">
        <v>12</v>
      </c>
      <c r="B8">
        <v>5.4</v>
      </c>
      <c r="C8">
        <v>9.4730000000000008</v>
      </c>
    </row>
    <row r="9" spans="1:3" x14ac:dyDescent="0.3">
      <c r="A9" t="s">
        <v>13</v>
      </c>
      <c r="B9">
        <v>5.4</v>
      </c>
      <c r="C9">
        <v>1.8260000000000001</v>
      </c>
    </row>
    <row r="10" spans="1:3" x14ac:dyDescent="0.3">
      <c r="A10" t="s">
        <v>14</v>
      </c>
      <c r="B10">
        <v>3.5</v>
      </c>
      <c r="C10">
        <v>14.93</v>
      </c>
    </row>
    <row r="11" spans="1:3" x14ac:dyDescent="0.3">
      <c r="A11" t="s">
        <v>15</v>
      </c>
      <c r="B11">
        <v>5.9</v>
      </c>
      <c r="C11">
        <v>3.3450000000000002</v>
      </c>
    </row>
    <row r="12" spans="1:3" x14ac:dyDescent="0.3">
      <c r="A12" t="s">
        <v>16</v>
      </c>
      <c r="B12">
        <v>3.3</v>
      </c>
      <c r="C12">
        <v>1.8959999999999999</v>
      </c>
    </row>
    <row r="13" spans="1:3" x14ac:dyDescent="0.3">
      <c r="A13" t="s">
        <v>17</v>
      </c>
      <c r="B13">
        <v>6.5</v>
      </c>
      <c r="C13">
        <v>6.4</v>
      </c>
    </row>
    <row r="14" spans="1:3" x14ac:dyDescent="0.3">
      <c r="A14" t="s">
        <v>18</v>
      </c>
      <c r="B14">
        <v>8.4</v>
      </c>
      <c r="C14">
        <v>11.226000000000001</v>
      </c>
    </row>
    <row r="15" spans="1:3" x14ac:dyDescent="0.3">
      <c r="A15" t="s">
        <v>19</v>
      </c>
      <c r="B15">
        <v>9.9</v>
      </c>
      <c r="C15">
        <v>24.946999999999999</v>
      </c>
    </row>
    <row r="16" spans="1:3" x14ac:dyDescent="0.3">
      <c r="A16" t="s">
        <v>20</v>
      </c>
      <c r="B16">
        <v>6.1</v>
      </c>
      <c r="C16">
        <v>24.577000000000002</v>
      </c>
    </row>
    <row r="17" spans="1:3" x14ac:dyDescent="0.3">
      <c r="A17" t="s">
        <v>21</v>
      </c>
      <c r="B17">
        <v>4.3</v>
      </c>
      <c r="C17">
        <v>1.9319999999999999</v>
      </c>
    </row>
    <row r="18" spans="1:3" x14ac:dyDescent="0.3">
      <c r="A18" t="s">
        <v>22</v>
      </c>
      <c r="B18">
        <v>8.1999999999999993</v>
      </c>
      <c r="C18">
        <v>30.677</v>
      </c>
    </row>
    <row r="19" spans="1:3" x14ac:dyDescent="0.3">
      <c r="A19" t="s">
        <v>23</v>
      </c>
      <c r="B19">
        <v>7.9</v>
      </c>
      <c r="C19">
        <v>30.125</v>
      </c>
    </row>
    <row r="20" spans="1:3" x14ac:dyDescent="0.3">
      <c r="A20" t="s">
        <v>24</v>
      </c>
      <c r="B20">
        <v>4.5</v>
      </c>
      <c r="C20">
        <v>1.7350000000000001</v>
      </c>
    </row>
    <row r="21" spans="1:3" x14ac:dyDescent="0.3">
      <c r="A21" t="s">
        <v>25</v>
      </c>
      <c r="B21">
        <v>4.2</v>
      </c>
      <c r="C21">
        <v>10.97</v>
      </c>
    </row>
    <row r="22" spans="1:3" x14ac:dyDescent="0.3">
      <c r="A22" t="s">
        <v>26</v>
      </c>
      <c r="B22">
        <v>2.8</v>
      </c>
      <c r="C22">
        <v>19.315000000000001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8"/>
  <sheetViews>
    <sheetView topLeftCell="A7" workbookViewId="0">
      <selection activeCell="G24" sqref="G24"/>
    </sheetView>
  </sheetViews>
  <sheetFormatPr defaultColWidth="11.5546875" defaultRowHeight="14.4" x14ac:dyDescent="0.3"/>
  <sheetData>
    <row r="1" spans="1:9" x14ac:dyDescent="0.3">
      <c r="A1" t="s">
        <v>27</v>
      </c>
    </row>
    <row r="2" spans="1:9" ht="15" thickBot="1" x14ac:dyDescent="0.35"/>
    <row r="3" spans="1:9" x14ac:dyDescent="0.3">
      <c r="A3" s="4" t="s">
        <v>28</v>
      </c>
      <c r="B3" s="4"/>
    </row>
    <row r="4" spans="1:9" x14ac:dyDescent="0.3">
      <c r="A4" s="1" t="s">
        <v>29</v>
      </c>
      <c r="B4" s="1">
        <v>0.39273259869534255</v>
      </c>
    </row>
    <row r="5" spans="1:9" x14ac:dyDescent="0.3">
      <c r="A5" s="1" t="s">
        <v>30</v>
      </c>
      <c r="B5" s="1">
        <v>0.15423889407799699</v>
      </c>
    </row>
    <row r="6" spans="1:9" x14ac:dyDescent="0.3">
      <c r="A6" s="1" t="s">
        <v>31</v>
      </c>
      <c r="B6" s="1">
        <v>0.10972515166104946</v>
      </c>
    </row>
    <row r="7" spans="1:9" x14ac:dyDescent="0.3">
      <c r="A7" s="1" t="s">
        <v>32</v>
      </c>
      <c r="B7" s="1">
        <v>9.3837865720093383</v>
      </c>
    </row>
    <row r="8" spans="1:9" ht="15" thickBot="1" x14ac:dyDescent="0.35">
      <c r="A8" s="2" t="s">
        <v>33</v>
      </c>
      <c r="B8" s="2">
        <v>21</v>
      </c>
    </row>
    <row r="10" spans="1:9" ht="15" thickBot="1" x14ac:dyDescent="0.35">
      <c r="A10" t="s">
        <v>34</v>
      </c>
    </row>
    <row r="11" spans="1:9" x14ac:dyDescent="0.3">
      <c r="A11" s="3"/>
      <c r="B11" s="3" t="s">
        <v>39</v>
      </c>
      <c r="C11" s="3" t="s">
        <v>40</v>
      </c>
      <c r="D11" s="3" t="s">
        <v>41</v>
      </c>
      <c r="E11" s="3" t="s">
        <v>42</v>
      </c>
      <c r="F11" s="3" t="s">
        <v>43</v>
      </c>
    </row>
    <row r="12" spans="1:9" x14ac:dyDescent="0.3">
      <c r="A12" s="1" t="s">
        <v>35</v>
      </c>
      <c r="B12" s="1">
        <v>1</v>
      </c>
      <c r="C12" s="1">
        <v>305.10971565809086</v>
      </c>
      <c r="D12" s="1">
        <v>305.10971565809086</v>
      </c>
      <c r="E12" s="1">
        <v>3.4649725164261698</v>
      </c>
      <c r="F12" s="1">
        <v>7.8225658629053535E-2</v>
      </c>
    </row>
    <row r="13" spans="1:9" x14ac:dyDescent="0.3">
      <c r="A13" s="1" t="s">
        <v>36</v>
      </c>
      <c r="B13" s="1">
        <v>19</v>
      </c>
      <c r="C13" s="1">
        <v>1673.0535581514328</v>
      </c>
      <c r="D13" s="1">
        <v>88.05545042902277</v>
      </c>
      <c r="E13" s="1"/>
      <c r="F13" s="1"/>
    </row>
    <row r="14" spans="1:9" ht="15" thickBot="1" x14ac:dyDescent="0.35">
      <c r="A14" s="2" t="s">
        <v>37</v>
      </c>
      <c r="B14" s="2">
        <v>20</v>
      </c>
      <c r="C14" s="2">
        <v>1978.1632738095236</v>
      </c>
      <c r="D14" s="2"/>
      <c r="E14" s="2"/>
      <c r="F14" s="2"/>
    </row>
    <row r="15" spans="1:9" ht="15" thickBot="1" x14ac:dyDescent="0.35"/>
    <row r="16" spans="1:9" x14ac:dyDescent="0.3">
      <c r="A16" s="3"/>
      <c r="B16" s="3" t="s">
        <v>44</v>
      </c>
      <c r="C16" s="3" t="s">
        <v>32</v>
      </c>
      <c r="D16" s="3" t="s">
        <v>45</v>
      </c>
      <c r="E16" s="3" t="s">
        <v>46</v>
      </c>
      <c r="F16" s="3" t="s">
        <v>47</v>
      </c>
      <c r="G16" s="3" t="s">
        <v>48</v>
      </c>
      <c r="H16" s="3" t="s">
        <v>49</v>
      </c>
      <c r="I16" s="3" t="s">
        <v>50</v>
      </c>
    </row>
    <row r="17" spans="1:9" x14ac:dyDescent="0.3">
      <c r="A17" s="1" t="s">
        <v>38</v>
      </c>
      <c r="B17" s="1">
        <v>2.0997900276506805</v>
      </c>
      <c r="C17" s="1">
        <v>5.7052094681934369</v>
      </c>
      <c r="D17" s="1">
        <v>0.3680478410752519</v>
      </c>
      <c r="E17" s="1">
        <v>0.71690596007574769</v>
      </c>
      <c r="F17" s="1">
        <v>-9.8413506247162221</v>
      </c>
      <c r="G17" s="1">
        <v>14.040930680017583</v>
      </c>
      <c r="H17" s="1">
        <v>-9.8413506247162221</v>
      </c>
      <c r="I17" s="1">
        <v>14.040930680017583</v>
      </c>
    </row>
    <row r="18" spans="1:9" ht="15" thickBot="1" x14ac:dyDescent="0.35">
      <c r="A18" s="2" t="s">
        <v>3</v>
      </c>
      <c r="B18" s="2">
        <v>1.6237005414924781</v>
      </c>
      <c r="C18" s="2">
        <v>0.87228024805890658</v>
      </c>
      <c r="D18" s="2">
        <v>1.8614436645856811</v>
      </c>
      <c r="E18" s="2">
        <v>7.8225658629053535E-2</v>
      </c>
      <c r="F18" s="2">
        <v>-0.20200299988006054</v>
      </c>
      <c r="G18" s="2">
        <v>3.4494040828650165</v>
      </c>
      <c r="H18" s="2">
        <v>-0.20200299988006054</v>
      </c>
      <c r="I18" s="2">
        <v>3.4494040828650165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3"/>
  <sheetViews>
    <sheetView tabSelected="1" workbookViewId="0">
      <selection activeCell="B2" sqref="B2:B23"/>
    </sheetView>
  </sheetViews>
  <sheetFormatPr defaultColWidth="8.77734375" defaultRowHeight="14.4" x14ac:dyDescent="0.3"/>
  <cols>
    <col min="3" max="3" width="22.77734375" customWidth="1"/>
  </cols>
  <sheetData>
    <row r="1" spans="1:3" x14ac:dyDescent="0.3">
      <c r="A1" t="s">
        <v>0</v>
      </c>
      <c r="B1" t="s">
        <v>4</v>
      </c>
      <c r="C1" t="s">
        <v>2</v>
      </c>
    </row>
    <row r="2" spans="1:3" x14ac:dyDescent="0.3">
      <c r="A2" t="s">
        <v>5</v>
      </c>
      <c r="B2">
        <v>12.2</v>
      </c>
      <c r="C2">
        <v>5.0060000000000002</v>
      </c>
    </row>
    <row r="3" spans="1:3" x14ac:dyDescent="0.3">
      <c r="A3" t="s">
        <v>6</v>
      </c>
      <c r="B3">
        <v>11</v>
      </c>
      <c r="C3">
        <v>8.85</v>
      </c>
    </row>
    <row r="4" spans="1:3" x14ac:dyDescent="0.3">
      <c r="A4" t="s">
        <v>7</v>
      </c>
      <c r="B4">
        <v>8.6999999999999993</v>
      </c>
      <c r="C4">
        <v>4.8000000000000001E-2</v>
      </c>
    </row>
    <row r="5" spans="1:3" x14ac:dyDescent="0.3">
      <c r="A5" t="s">
        <v>8</v>
      </c>
      <c r="B5">
        <v>6.7</v>
      </c>
      <c r="C5">
        <v>6.5000000000000002E-2</v>
      </c>
    </row>
    <row r="6" spans="1:3" x14ac:dyDescent="0.3">
      <c r="A6" t="s">
        <v>9</v>
      </c>
      <c r="B6">
        <v>11.4</v>
      </c>
      <c r="C6">
        <v>24.695</v>
      </c>
    </row>
    <row r="7" spans="1:3" x14ac:dyDescent="0.3">
      <c r="A7" t="s">
        <v>10</v>
      </c>
      <c r="B7">
        <v>11.8</v>
      </c>
      <c r="C7">
        <v>13.013</v>
      </c>
    </row>
    <row r="8" spans="1:3" x14ac:dyDescent="0.3">
      <c r="A8" t="s">
        <v>11</v>
      </c>
      <c r="B8">
        <v>12.3</v>
      </c>
      <c r="C8">
        <v>7.2679999999999998</v>
      </c>
    </row>
    <row r="9" spans="1:3" x14ac:dyDescent="0.3">
      <c r="A9" t="s">
        <v>12</v>
      </c>
      <c r="B9">
        <v>12.2</v>
      </c>
      <c r="C9">
        <v>9.4730000000000008</v>
      </c>
    </row>
    <row r="10" spans="1:3" x14ac:dyDescent="0.3">
      <c r="A10" t="s">
        <v>13</v>
      </c>
      <c r="B10">
        <v>10.3</v>
      </c>
      <c r="C10">
        <v>1.8260000000000001</v>
      </c>
    </row>
    <row r="11" spans="1:3" x14ac:dyDescent="0.3">
      <c r="A11" t="s">
        <v>14</v>
      </c>
      <c r="B11">
        <v>11.9</v>
      </c>
      <c r="C11">
        <v>14.93</v>
      </c>
    </row>
    <row r="12" spans="1:3" x14ac:dyDescent="0.3">
      <c r="A12" t="s">
        <v>15</v>
      </c>
      <c r="B12">
        <v>6.7</v>
      </c>
      <c r="C12">
        <v>3.3450000000000002</v>
      </c>
    </row>
    <row r="13" spans="1:3" x14ac:dyDescent="0.3">
      <c r="A13" t="s">
        <v>16</v>
      </c>
      <c r="B13">
        <v>7.2</v>
      </c>
      <c r="C13">
        <v>1.8959999999999999</v>
      </c>
    </row>
    <row r="14" spans="1:3" x14ac:dyDescent="0.3">
      <c r="A14" t="s">
        <v>17</v>
      </c>
      <c r="B14">
        <v>10.199999999999999</v>
      </c>
      <c r="C14">
        <v>6.4</v>
      </c>
    </row>
    <row r="15" spans="1:3" x14ac:dyDescent="0.3">
      <c r="A15" t="s">
        <v>18</v>
      </c>
      <c r="B15">
        <v>9.9</v>
      </c>
      <c r="C15">
        <v>11.226000000000001</v>
      </c>
    </row>
    <row r="16" spans="1:3" x14ac:dyDescent="0.3">
      <c r="A16" t="s">
        <v>19</v>
      </c>
      <c r="B16">
        <v>7.7</v>
      </c>
      <c r="C16">
        <v>24.946999999999999</v>
      </c>
    </row>
    <row r="17" spans="1:3" x14ac:dyDescent="0.3">
      <c r="A17" t="s">
        <v>20</v>
      </c>
      <c r="B17">
        <v>10.3</v>
      </c>
      <c r="C17">
        <v>24.577000000000002</v>
      </c>
    </row>
    <row r="18" spans="1:3" x14ac:dyDescent="0.3">
      <c r="A18" t="s">
        <v>21</v>
      </c>
      <c r="B18">
        <v>12.9</v>
      </c>
      <c r="C18">
        <v>1.9319999999999999</v>
      </c>
    </row>
    <row r="19" spans="1:3" x14ac:dyDescent="0.3">
      <c r="A19" t="s">
        <v>22</v>
      </c>
      <c r="B19">
        <v>9.1999999999999993</v>
      </c>
      <c r="C19">
        <v>30.677</v>
      </c>
    </row>
    <row r="20" spans="1:3" x14ac:dyDescent="0.3">
      <c r="A20" t="s">
        <v>23</v>
      </c>
      <c r="B20">
        <v>10.7</v>
      </c>
      <c r="C20">
        <v>30.125</v>
      </c>
    </row>
    <row r="21" spans="1:3" x14ac:dyDescent="0.3">
      <c r="A21" t="s">
        <v>24</v>
      </c>
      <c r="B21">
        <v>11.2</v>
      </c>
      <c r="C21">
        <v>1.7350000000000001</v>
      </c>
    </row>
    <row r="22" spans="1:3" x14ac:dyDescent="0.3">
      <c r="A22" t="s">
        <v>25</v>
      </c>
      <c r="B22">
        <v>9.1999999999999993</v>
      </c>
      <c r="C22">
        <v>10.97</v>
      </c>
    </row>
    <row r="23" spans="1:3" x14ac:dyDescent="0.3">
      <c r="A23" t="s">
        <v>26</v>
      </c>
      <c r="B23">
        <v>11.6</v>
      </c>
      <c r="C23">
        <v>19.315000000000001</v>
      </c>
    </row>
  </sheetData>
  <pageMargins left="0.7" right="0.7" top="0.75" bottom="0.75" header="0.3" footer="0.3"/>
  <pageSetup orientation="portrait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8"/>
  <sheetViews>
    <sheetView workbookViewId="0">
      <selection activeCell="A25" sqref="A25"/>
    </sheetView>
  </sheetViews>
  <sheetFormatPr defaultColWidth="11.5546875" defaultRowHeight="14.4" x14ac:dyDescent="0.3"/>
  <sheetData>
    <row r="1" spans="1:9" x14ac:dyDescent="0.3">
      <c r="A1" t="s">
        <v>27</v>
      </c>
    </row>
    <row r="2" spans="1:9" ht="15" thickBot="1" x14ac:dyDescent="0.35"/>
    <row r="3" spans="1:9" x14ac:dyDescent="0.3">
      <c r="A3" s="4" t="s">
        <v>28</v>
      </c>
      <c r="B3" s="4"/>
    </row>
    <row r="4" spans="1:9" x14ac:dyDescent="0.3">
      <c r="A4" s="1" t="s">
        <v>29</v>
      </c>
      <c r="B4" s="1">
        <v>0.10942143798843172</v>
      </c>
    </row>
    <row r="5" spans="1:9" x14ac:dyDescent="0.3">
      <c r="A5" s="1" t="s">
        <v>30</v>
      </c>
      <c r="B5" s="1">
        <v>1.1973051091456209E-2</v>
      </c>
    </row>
    <row r="6" spans="1:9" x14ac:dyDescent="0.3">
      <c r="A6" s="1" t="s">
        <v>31</v>
      </c>
      <c r="B6" s="1">
        <v>-3.7428296353970977E-2</v>
      </c>
    </row>
    <row r="7" spans="1:9" x14ac:dyDescent="0.3">
      <c r="A7" s="1" t="s">
        <v>32</v>
      </c>
      <c r="B7" s="1">
        <v>10.220304716749247</v>
      </c>
    </row>
    <row r="8" spans="1:9" ht="15" thickBot="1" x14ac:dyDescent="0.35">
      <c r="A8" s="2" t="s">
        <v>33</v>
      </c>
      <c r="B8" s="2">
        <v>22</v>
      </c>
    </row>
    <row r="10" spans="1:9" ht="15" thickBot="1" x14ac:dyDescent="0.35">
      <c r="A10" t="s">
        <v>34</v>
      </c>
    </row>
    <row r="11" spans="1:9" x14ac:dyDescent="0.3">
      <c r="A11" s="3"/>
      <c r="B11" s="3" t="s">
        <v>39</v>
      </c>
      <c r="C11" s="3" t="s">
        <v>40</v>
      </c>
      <c r="D11" s="3" t="s">
        <v>41</v>
      </c>
      <c r="E11" s="3" t="s">
        <v>42</v>
      </c>
      <c r="F11" s="3" t="s">
        <v>43</v>
      </c>
    </row>
    <row r="12" spans="1:9" x14ac:dyDescent="0.3">
      <c r="A12" s="1" t="s">
        <v>35</v>
      </c>
      <c r="B12" s="1">
        <v>1</v>
      </c>
      <c r="C12" s="1">
        <v>25.315920890407597</v>
      </c>
      <c r="D12" s="1">
        <v>25.315920890407597</v>
      </c>
      <c r="E12" s="1">
        <v>0.24236284454958706</v>
      </c>
      <c r="F12" s="1">
        <v>0.62786538011437687</v>
      </c>
    </row>
    <row r="13" spans="1:9" x14ac:dyDescent="0.3">
      <c r="A13" s="1" t="s">
        <v>36</v>
      </c>
      <c r="B13" s="1">
        <v>20</v>
      </c>
      <c r="C13" s="1">
        <v>2089.0925700641378</v>
      </c>
      <c r="D13" s="1">
        <v>104.45462850320689</v>
      </c>
      <c r="E13" s="1"/>
      <c r="F13" s="1"/>
    </row>
    <row r="14" spans="1:9" ht="15" thickBot="1" x14ac:dyDescent="0.35">
      <c r="A14" s="2" t="s">
        <v>37</v>
      </c>
      <c r="B14" s="2">
        <v>21</v>
      </c>
      <c r="C14" s="2">
        <v>2114.4084909545454</v>
      </c>
      <c r="D14" s="2"/>
      <c r="E14" s="2"/>
      <c r="F14" s="2"/>
    </row>
    <row r="16" spans="1:9" x14ac:dyDescent="0.3">
      <c r="B16" t="s">
        <v>44</v>
      </c>
      <c r="C16" t="s">
        <v>32</v>
      </c>
      <c r="D16" t="s">
        <v>45</v>
      </c>
      <c r="E16" t="s">
        <v>46</v>
      </c>
      <c r="F16" t="s">
        <v>47</v>
      </c>
      <c r="G16" t="s">
        <v>48</v>
      </c>
      <c r="H16" t="s">
        <v>49</v>
      </c>
      <c r="I16" t="s">
        <v>50</v>
      </c>
    </row>
    <row r="17" spans="1:9" x14ac:dyDescent="0.3">
      <c r="A17" t="s">
        <v>38</v>
      </c>
      <c r="B17">
        <v>5.4998084658602178</v>
      </c>
      <c r="C17">
        <v>12.319346863149223</v>
      </c>
      <c r="D17">
        <v>0.44643669237950895</v>
      </c>
      <c r="E17">
        <v>0.66007806266940572</v>
      </c>
      <c r="F17">
        <v>-20.197898784858452</v>
      </c>
      <c r="G17">
        <v>31.197515716578891</v>
      </c>
      <c r="H17">
        <v>-20.197898784858452</v>
      </c>
      <c r="I17">
        <v>31.197515716578891</v>
      </c>
    </row>
    <row r="18" spans="1:9" x14ac:dyDescent="0.3">
      <c r="A18" t="s">
        <v>4</v>
      </c>
      <c r="B18">
        <v>0.58288155237938399</v>
      </c>
      <c r="C18">
        <v>1.1839879708019772</v>
      </c>
      <c r="D18">
        <v>0.49230361013259938</v>
      </c>
      <c r="E18">
        <v>0.62786538011437454</v>
      </c>
      <c r="F18">
        <v>-1.8868740767160244</v>
      </c>
      <c r="G18">
        <v>3.0526371814747923</v>
      </c>
      <c r="H18">
        <v>-1.8868740767160244</v>
      </c>
      <c r="I18">
        <v>3.0526371814747923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3"/>
  <sheetViews>
    <sheetView workbookViewId="0">
      <selection activeCell="G1" sqref="G1:H23"/>
    </sheetView>
  </sheetViews>
  <sheetFormatPr defaultColWidth="11.5546875" defaultRowHeight="14.4" x14ac:dyDescent="0.3"/>
  <sheetData>
    <row r="1" spans="1:8" x14ac:dyDescent="0.3">
      <c r="A1" t="s">
        <v>0</v>
      </c>
      <c r="B1" t="s">
        <v>54</v>
      </c>
      <c r="C1" t="s">
        <v>51</v>
      </c>
      <c r="D1" t="s">
        <v>52</v>
      </c>
      <c r="E1" t="s">
        <v>53</v>
      </c>
      <c r="F1" t="s">
        <v>55</v>
      </c>
      <c r="G1" t="s">
        <v>56</v>
      </c>
      <c r="H1" t="s">
        <v>2</v>
      </c>
    </row>
    <row r="2" spans="1:8" x14ac:dyDescent="0.3">
      <c r="A2" t="s">
        <v>5</v>
      </c>
      <c r="B2">
        <v>12.2</v>
      </c>
      <c r="C2" s="5">
        <v>44</v>
      </c>
      <c r="D2" s="5">
        <v>36.700000000000003</v>
      </c>
      <c r="E2" s="5">
        <v>12.5</v>
      </c>
      <c r="F2">
        <f>B2*C2*0.01</f>
        <v>5.3679999999999994</v>
      </c>
      <c r="G2">
        <f>B2*D2*0.01</f>
        <v>4.4774000000000003</v>
      </c>
      <c r="H2">
        <v>5.0060000000000002</v>
      </c>
    </row>
    <row r="3" spans="1:8" x14ac:dyDescent="0.3">
      <c r="A3" t="s">
        <v>6</v>
      </c>
      <c r="B3">
        <v>11</v>
      </c>
      <c r="C3" s="5">
        <v>49.2</v>
      </c>
      <c r="D3" s="5">
        <v>36.299999999999997</v>
      </c>
      <c r="E3" s="5">
        <v>14.4</v>
      </c>
      <c r="F3">
        <f t="shared" ref="F3:F23" si="0">B3*C3*0.01</f>
        <v>5.4120000000000008</v>
      </c>
      <c r="G3">
        <f t="shared" ref="G3:G23" si="1">B3*D3*0.01</f>
        <v>3.9929999999999994</v>
      </c>
      <c r="H3">
        <v>8.85</v>
      </c>
    </row>
    <row r="4" spans="1:8" x14ac:dyDescent="0.3">
      <c r="A4" t="s">
        <v>7</v>
      </c>
      <c r="B4">
        <v>8.6999999999999993</v>
      </c>
      <c r="C4" s="5">
        <v>59.6</v>
      </c>
      <c r="D4" s="5">
        <v>4</v>
      </c>
      <c r="E4" s="5">
        <v>36.299999999999997</v>
      </c>
      <c r="F4">
        <f t="shared" si="0"/>
        <v>5.1852</v>
      </c>
      <c r="G4">
        <f t="shared" si="1"/>
        <v>0.34799999999999998</v>
      </c>
      <c r="H4">
        <v>4.8000000000000001E-2</v>
      </c>
    </row>
    <row r="5" spans="1:8" x14ac:dyDescent="0.3">
      <c r="A5" t="s">
        <v>8</v>
      </c>
      <c r="B5">
        <v>6.7</v>
      </c>
      <c r="C5" s="5">
        <v>27.8</v>
      </c>
      <c r="D5" s="5">
        <v>3</v>
      </c>
      <c r="E5" s="5">
        <v>69.2</v>
      </c>
      <c r="F5">
        <f t="shared" si="0"/>
        <v>1.8626000000000003</v>
      </c>
      <c r="G5">
        <f t="shared" si="1"/>
        <v>0.20100000000000001</v>
      </c>
      <c r="H5">
        <v>6.5000000000000002E-2</v>
      </c>
    </row>
    <row r="6" spans="1:8" x14ac:dyDescent="0.3">
      <c r="A6" t="s">
        <v>9</v>
      </c>
      <c r="B6">
        <v>11.4</v>
      </c>
      <c r="C6" s="5">
        <v>37.700000000000003</v>
      </c>
      <c r="D6" s="5">
        <v>48.2</v>
      </c>
      <c r="E6" s="5">
        <v>14.1</v>
      </c>
      <c r="F6">
        <f t="shared" si="0"/>
        <v>4.2978000000000005</v>
      </c>
      <c r="G6">
        <f t="shared" si="1"/>
        <v>5.4948000000000006</v>
      </c>
      <c r="H6">
        <v>24.695</v>
      </c>
    </row>
    <row r="7" spans="1:8" x14ac:dyDescent="0.3">
      <c r="A7" t="s">
        <v>10</v>
      </c>
      <c r="B7">
        <v>11.8</v>
      </c>
      <c r="C7" s="5">
        <v>53.6</v>
      </c>
      <c r="D7" s="5">
        <v>27.8</v>
      </c>
      <c r="E7" s="5">
        <v>18.600000000000001</v>
      </c>
      <c r="F7">
        <f t="shared" si="0"/>
        <v>6.3248000000000006</v>
      </c>
      <c r="G7">
        <f t="shared" si="1"/>
        <v>3.2804000000000002</v>
      </c>
      <c r="H7">
        <v>13.013</v>
      </c>
    </row>
    <row r="8" spans="1:8" x14ac:dyDescent="0.3">
      <c r="A8" t="s">
        <v>11</v>
      </c>
      <c r="B8">
        <v>12.3</v>
      </c>
      <c r="C8" s="5">
        <v>46</v>
      </c>
      <c r="D8" s="5">
        <v>17.5</v>
      </c>
      <c r="E8" s="5">
        <v>24</v>
      </c>
      <c r="F8">
        <f t="shared" si="0"/>
        <v>5.6580000000000004</v>
      </c>
      <c r="G8">
        <f t="shared" si="1"/>
        <v>2.1524999999999999</v>
      </c>
      <c r="H8">
        <v>7.2679999999999998</v>
      </c>
    </row>
    <row r="9" spans="1:8" x14ac:dyDescent="0.3">
      <c r="A9" t="s">
        <v>12</v>
      </c>
      <c r="B9">
        <v>12.2</v>
      </c>
      <c r="C9" s="5">
        <v>18.8</v>
      </c>
      <c r="D9" s="5">
        <v>56.4</v>
      </c>
      <c r="E9" s="5">
        <v>23.1</v>
      </c>
      <c r="F9">
        <f t="shared" si="0"/>
        <v>2.2936000000000001</v>
      </c>
      <c r="G9">
        <f t="shared" si="1"/>
        <v>6.8807999999999998</v>
      </c>
      <c r="H9">
        <v>9.4730000000000008</v>
      </c>
    </row>
    <row r="10" spans="1:8" x14ac:dyDescent="0.3">
      <c r="A10" t="s">
        <v>13</v>
      </c>
      <c r="B10">
        <v>10.3</v>
      </c>
      <c r="C10" s="5">
        <v>28.1</v>
      </c>
      <c r="D10" s="5">
        <v>47.3</v>
      </c>
      <c r="E10" s="5">
        <v>24.2</v>
      </c>
      <c r="F10">
        <f t="shared" si="0"/>
        <v>2.8943000000000003</v>
      </c>
      <c r="G10">
        <f t="shared" si="1"/>
        <v>4.8719000000000001</v>
      </c>
      <c r="H10">
        <v>1.8260000000000001</v>
      </c>
    </row>
    <row r="11" spans="1:8" x14ac:dyDescent="0.3">
      <c r="A11" t="s">
        <v>14</v>
      </c>
      <c r="B11">
        <v>11.9</v>
      </c>
      <c r="C11" s="5">
        <v>48.1</v>
      </c>
      <c r="D11" s="5">
        <v>26.1</v>
      </c>
      <c r="E11" s="5">
        <v>18.7</v>
      </c>
      <c r="F11">
        <f t="shared" si="0"/>
        <v>5.7238999999999995</v>
      </c>
      <c r="G11">
        <f t="shared" si="1"/>
        <v>3.1059000000000005</v>
      </c>
      <c r="H11">
        <v>14.93</v>
      </c>
    </row>
    <row r="12" spans="1:8" x14ac:dyDescent="0.3">
      <c r="A12" t="s">
        <v>15</v>
      </c>
      <c r="B12">
        <v>6.7</v>
      </c>
      <c r="C12" s="5">
        <v>23</v>
      </c>
      <c r="D12" s="5">
        <v>65.599999999999994</v>
      </c>
      <c r="E12" s="5">
        <v>11.5</v>
      </c>
      <c r="F12">
        <f t="shared" si="0"/>
        <v>1.5409999999999999</v>
      </c>
      <c r="G12">
        <f t="shared" si="1"/>
        <v>4.3952</v>
      </c>
      <c r="H12">
        <v>3.3450000000000002</v>
      </c>
    </row>
    <row r="13" spans="1:8" x14ac:dyDescent="0.3">
      <c r="A13" t="s">
        <v>16</v>
      </c>
      <c r="B13">
        <v>7.2</v>
      </c>
      <c r="C13" s="5">
        <v>19.2</v>
      </c>
      <c r="D13" s="5">
        <v>4.0999999999999996</v>
      </c>
      <c r="E13" s="5">
        <v>52</v>
      </c>
      <c r="F13">
        <f t="shared" si="0"/>
        <v>1.3824000000000001</v>
      </c>
      <c r="G13">
        <f t="shared" si="1"/>
        <v>0.29520000000000002</v>
      </c>
      <c r="H13">
        <v>1.8959999999999999</v>
      </c>
    </row>
    <row r="14" spans="1:8" x14ac:dyDescent="0.3">
      <c r="A14" t="s">
        <v>17</v>
      </c>
      <c r="B14">
        <v>10.199999999999999</v>
      </c>
      <c r="C14" s="5">
        <v>51.2</v>
      </c>
      <c r="D14" s="5">
        <v>22</v>
      </c>
      <c r="E14" s="5">
        <v>26.8</v>
      </c>
      <c r="F14">
        <f t="shared" si="0"/>
        <v>5.2224000000000004</v>
      </c>
      <c r="G14">
        <f t="shared" si="1"/>
        <v>2.2439999999999998</v>
      </c>
      <c r="H14">
        <v>6.4</v>
      </c>
    </row>
    <row r="15" spans="1:8" x14ac:dyDescent="0.3">
      <c r="A15" t="s">
        <v>18</v>
      </c>
      <c r="B15">
        <v>9.9</v>
      </c>
      <c r="C15" s="5">
        <v>46.8</v>
      </c>
      <c r="D15" s="5">
        <v>36.4</v>
      </c>
      <c r="E15" s="5">
        <v>16.899999999999999</v>
      </c>
      <c r="F15">
        <f t="shared" si="0"/>
        <v>4.6332000000000004</v>
      </c>
      <c r="G15">
        <f t="shared" si="1"/>
        <v>3.6036000000000001</v>
      </c>
      <c r="H15">
        <v>11.226000000000001</v>
      </c>
    </row>
    <row r="16" spans="1:8" x14ac:dyDescent="0.3">
      <c r="A16" t="s">
        <v>19</v>
      </c>
      <c r="B16">
        <v>7.7</v>
      </c>
      <c r="C16" s="5">
        <v>44.2</v>
      </c>
      <c r="D16" s="5">
        <v>34.700000000000003</v>
      </c>
      <c r="E16" s="5">
        <v>19</v>
      </c>
      <c r="F16">
        <f t="shared" si="0"/>
        <v>3.4034000000000004</v>
      </c>
      <c r="G16">
        <f t="shared" si="1"/>
        <v>2.6719000000000004</v>
      </c>
      <c r="H16">
        <v>24.946999999999999</v>
      </c>
    </row>
    <row r="17" spans="1:8" x14ac:dyDescent="0.3">
      <c r="A17" t="s">
        <v>20</v>
      </c>
      <c r="B17">
        <v>10.3</v>
      </c>
      <c r="C17" s="5">
        <v>50.4</v>
      </c>
      <c r="D17" s="5">
        <v>35.5</v>
      </c>
      <c r="E17" s="5">
        <v>14</v>
      </c>
      <c r="F17">
        <f t="shared" si="0"/>
        <v>5.1912000000000003</v>
      </c>
      <c r="G17">
        <f t="shared" si="1"/>
        <v>3.6565000000000003</v>
      </c>
      <c r="H17">
        <v>24.577000000000002</v>
      </c>
    </row>
    <row r="18" spans="1:8" x14ac:dyDescent="0.3">
      <c r="A18" t="s">
        <v>21</v>
      </c>
      <c r="B18">
        <v>12.9</v>
      </c>
      <c r="C18" s="5">
        <v>30.8</v>
      </c>
      <c r="D18" s="5">
        <v>55.5</v>
      </c>
      <c r="E18" s="5">
        <v>10.9</v>
      </c>
      <c r="F18">
        <f t="shared" si="0"/>
        <v>3.9731999999999998</v>
      </c>
      <c r="G18">
        <f t="shared" si="1"/>
        <v>7.1595000000000004</v>
      </c>
      <c r="H18">
        <v>1.9319999999999999</v>
      </c>
    </row>
    <row r="19" spans="1:8" x14ac:dyDescent="0.3">
      <c r="A19" t="s">
        <v>22</v>
      </c>
      <c r="B19">
        <v>9.1999999999999993</v>
      </c>
      <c r="C19" s="5">
        <v>37</v>
      </c>
      <c r="D19" s="5">
        <v>46.6</v>
      </c>
      <c r="E19" s="5">
        <v>15.1</v>
      </c>
      <c r="F19">
        <f t="shared" si="0"/>
        <v>3.4039999999999999</v>
      </c>
      <c r="G19">
        <f t="shared" si="1"/>
        <v>4.2871999999999995</v>
      </c>
      <c r="H19">
        <v>30.677</v>
      </c>
    </row>
    <row r="20" spans="1:8" x14ac:dyDescent="0.3">
      <c r="A20" t="s">
        <v>23</v>
      </c>
      <c r="B20">
        <v>10.7</v>
      </c>
      <c r="C20" s="5">
        <v>31.8</v>
      </c>
      <c r="D20" s="5">
        <v>49.4</v>
      </c>
      <c r="E20" s="5">
        <v>17.600000000000001</v>
      </c>
      <c r="F20">
        <f t="shared" si="0"/>
        <v>3.4026000000000001</v>
      </c>
      <c r="G20">
        <f t="shared" si="1"/>
        <v>5.2857999999999992</v>
      </c>
      <c r="H20">
        <v>30.125</v>
      </c>
    </row>
    <row r="21" spans="1:8" x14ac:dyDescent="0.3">
      <c r="A21" t="s">
        <v>24</v>
      </c>
      <c r="B21">
        <v>11.2</v>
      </c>
      <c r="C21" s="5">
        <v>49.7</v>
      </c>
      <c r="D21" s="5">
        <v>20.100000000000001</v>
      </c>
      <c r="E21" s="5">
        <v>28.2</v>
      </c>
      <c r="F21">
        <f t="shared" si="0"/>
        <v>5.5663999999999998</v>
      </c>
      <c r="G21">
        <f t="shared" si="1"/>
        <v>2.2512000000000003</v>
      </c>
      <c r="H21">
        <v>1.7350000000000001</v>
      </c>
    </row>
    <row r="22" spans="1:8" x14ac:dyDescent="0.3">
      <c r="A22" t="s">
        <v>25</v>
      </c>
      <c r="B22">
        <v>9.1999999999999993</v>
      </c>
      <c r="C22" s="5">
        <v>50</v>
      </c>
      <c r="D22" s="5">
        <v>17.3</v>
      </c>
      <c r="E22" s="5">
        <v>32.700000000000003</v>
      </c>
      <c r="F22">
        <f t="shared" si="0"/>
        <v>4.5999999999999996</v>
      </c>
      <c r="G22">
        <f t="shared" si="1"/>
        <v>1.5915999999999999</v>
      </c>
      <c r="H22">
        <v>10.97</v>
      </c>
    </row>
    <row r="23" spans="1:8" x14ac:dyDescent="0.3">
      <c r="A23" t="s">
        <v>26</v>
      </c>
      <c r="B23">
        <v>11.6</v>
      </c>
      <c r="C23" s="5">
        <v>36.9</v>
      </c>
      <c r="D23" s="5">
        <v>33.799999999999997</v>
      </c>
      <c r="E23" s="5">
        <v>21.8</v>
      </c>
      <c r="F23">
        <f t="shared" si="0"/>
        <v>4.2803999999999993</v>
      </c>
      <c r="G23">
        <f t="shared" si="1"/>
        <v>3.9207999999999994</v>
      </c>
      <c r="H23">
        <v>19.315000000000001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8"/>
  <sheetViews>
    <sheetView workbookViewId="0">
      <selection activeCell="A24" sqref="A24"/>
    </sheetView>
  </sheetViews>
  <sheetFormatPr defaultColWidth="11.5546875" defaultRowHeight="14.4" x14ac:dyDescent="0.3"/>
  <sheetData>
    <row r="1" spans="1:9" x14ac:dyDescent="0.3">
      <c r="A1" t="s">
        <v>27</v>
      </c>
    </row>
    <row r="2" spans="1:9" ht="15" thickBot="1" x14ac:dyDescent="0.35"/>
    <row r="3" spans="1:9" x14ac:dyDescent="0.3">
      <c r="A3" s="4" t="s">
        <v>28</v>
      </c>
      <c r="B3" s="4"/>
    </row>
    <row r="4" spans="1:9" x14ac:dyDescent="0.3">
      <c r="A4" s="1" t="s">
        <v>29</v>
      </c>
      <c r="B4" s="1">
        <v>0.31415015575802946</v>
      </c>
    </row>
    <row r="5" spans="1:9" x14ac:dyDescent="0.3">
      <c r="A5" s="1" t="s">
        <v>30</v>
      </c>
      <c r="B5" s="1">
        <v>9.8690320362794168E-2</v>
      </c>
    </row>
    <row r="6" spans="1:9" x14ac:dyDescent="0.3">
      <c r="A6" s="1" t="s">
        <v>31</v>
      </c>
      <c r="B6" s="1">
        <v>5.362483638093387E-2</v>
      </c>
    </row>
    <row r="7" spans="1:9" x14ac:dyDescent="0.3">
      <c r="A7" s="1" t="s">
        <v>32</v>
      </c>
      <c r="B7" s="1">
        <v>1.8657753595642779</v>
      </c>
    </row>
    <row r="8" spans="1:9" ht="15" thickBot="1" x14ac:dyDescent="0.35">
      <c r="A8" s="2" t="s">
        <v>33</v>
      </c>
      <c r="B8" s="2">
        <v>22</v>
      </c>
    </row>
    <row r="10" spans="1:9" ht="15" thickBot="1" x14ac:dyDescent="0.35">
      <c r="A10" t="s">
        <v>34</v>
      </c>
    </row>
    <row r="11" spans="1:9" x14ac:dyDescent="0.3">
      <c r="A11" s="3"/>
      <c r="B11" s="3" t="s">
        <v>39</v>
      </c>
      <c r="C11" s="3" t="s">
        <v>40</v>
      </c>
      <c r="D11" s="3" t="s">
        <v>41</v>
      </c>
      <c r="E11" s="3" t="s">
        <v>42</v>
      </c>
      <c r="F11" s="3" t="s">
        <v>43</v>
      </c>
    </row>
    <row r="12" spans="1:9" x14ac:dyDescent="0.3">
      <c r="A12" s="1" t="s">
        <v>35</v>
      </c>
      <c r="B12" s="1">
        <v>1</v>
      </c>
      <c r="C12" s="1">
        <v>7.6234090910376153</v>
      </c>
      <c r="D12" s="1">
        <v>7.6234090910376153</v>
      </c>
      <c r="E12" s="1">
        <v>2.1899314429313326</v>
      </c>
      <c r="F12" s="1">
        <v>0.15449602772440238</v>
      </c>
    </row>
    <row r="13" spans="1:9" x14ac:dyDescent="0.3">
      <c r="A13" s="1" t="s">
        <v>36</v>
      </c>
      <c r="B13" s="1">
        <v>20</v>
      </c>
      <c r="C13" s="1">
        <v>69.622353847144197</v>
      </c>
      <c r="D13" s="1">
        <v>3.48111769235721</v>
      </c>
      <c r="E13" s="1"/>
      <c r="F13" s="1"/>
    </row>
    <row r="14" spans="1:9" ht="15" thickBot="1" x14ac:dyDescent="0.35">
      <c r="A14" s="2" t="s">
        <v>37</v>
      </c>
      <c r="B14" s="2">
        <v>21</v>
      </c>
      <c r="C14" s="2">
        <v>77.245762938181812</v>
      </c>
      <c r="D14" s="2"/>
      <c r="E14" s="2"/>
      <c r="F14" s="2"/>
    </row>
    <row r="15" spans="1:9" ht="15" thickBot="1" x14ac:dyDescent="0.35"/>
    <row r="16" spans="1:9" x14ac:dyDescent="0.3">
      <c r="A16" s="3"/>
      <c r="B16" s="3" t="s">
        <v>44</v>
      </c>
      <c r="C16" s="3" t="s">
        <v>32</v>
      </c>
      <c r="D16" s="3" t="s">
        <v>45</v>
      </c>
      <c r="E16" s="3" t="s">
        <v>46</v>
      </c>
      <c r="F16" s="3" t="s">
        <v>47</v>
      </c>
      <c r="G16" s="3" t="s">
        <v>48</v>
      </c>
      <c r="H16" s="3" t="s">
        <v>49</v>
      </c>
      <c r="I16" s="3" t="s">
        <v>50</v>
      </c>
    </row>
    <row r="17" spans="1:9" x14ac:dyDescent="0.3">
      <c r="A17" s="1" t="s">
        <v>38</v>
      </c>
      <c r="B17" s="1">
        <v>2.7735268156001038</v>
      </c>
      <c r="C17" s="1">
        <v>0.61220558056770924</v>
      </c>
      <c r="D17" s="1">
        <v>4.5303847328999556</v>
      </c>
      <c r="E17" s="1">
        <v>2.0382456688038903E-4</v>
      </c>
      <c r="F17" s="1">
        <v>1.4964883523236849</v>
      </c>
      <c r="G17" s="1">
        <v>4.0505652788765225</v>
      </c>
      <c r="H17" s="1">
        <v>1.4964883523236849</v>
      </c>
      <c r="I17" s="1">
        <v>4.0505652788765225</v>
      </c>
    </row>
    <row r="18" spans="1:9" ht="15" thickBot="1" x14ac:dyDescent="0.35">
      <c r="A18" s="2" t="s">
        <v>2</v>
      </c>
      <c r="B18" s="2">
        <v>6.0045458553647207E-2</v>
      </c>
      <c r="C18" s="2">
        <v>4.0575595854156619E-2</v>
      </c>
      <c r="D18" s="2">
        <v>1.479841695226666</v>
      </c>
      <c r="E18" s="2">
        <v>0.15449602772440238</v>
      </c>
      <c r="F18" s="2">
        <v>-2.459375124915586E-2</v>
      </c>
      <c r="G18" s="2">
        <v>0.14468466835645027</v>
      </c>
      <c r="H18" s="2">
        <v>-2.459375124915586E-2</v>
      </c>
      <c r="I18" s="2">
        <v>0.14468466835645027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chocolate</vt:lpstr>
      <vt:lpstr>chocolate-analysis</vt:lpstr>
      <vt:lpstr>coffe</vt:lpstr>
      <vt:lpstr>coffee-analysis</vt:lpstr>
      <vt:lpstr>alcohol</vt:lpstr>
      <vt:lpstr>alcohol(total)-analysis</vt:lpstr>
      <vt:lpstr>alcohol(separate)</vt:lpstr>
      <vt:lpstr>wine-analysis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mentos L</dc:creator>
  <cp:lastModifiedBy>mentos L</cp:lastModifiedBy>
  <dcterms:created xsi:type="dcterms:W3CDTF">2016-03-27T02:50:10Z</dcterms:created>
  <dcterms:modified xsi:type="dcterms:W3CDTF">2016-03-28T18:04:06Z</dcterms:modified>
</cp:coreProperties>
</file>